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5" sheetId="1" r:id="rId5"/>
  </sheets>
  <definedNames/>
  <calcPr/>
</workbook>
</file>

<file path=xl/sharedStrings.xml><?xml version="1.0" encoding="utf-8"?>
<sst xmlns="http://schemas.openxmlformats.org/spreadsheetml/2006/main" count="81" uniqueCount="34">
  <si>
    <t>Filter</t>
  </si>
  <si>
    <t>234 Moo 7, Suan Phueng</t>
  </si>
  <si>
    <t>Ratchabuti 70180</t>
  </si>
  <si>
    <t>Tel : +66 81 000 7070</t>
  </si>
  <si>
    <t>Fax : +66 32 206 370</t>
  </si>
  <si>
    <t>Invoice No</t>
  </si>
  <si>
    <t>www.sceneryvintagefarm.com</t>
  </si>
  <si>
    <t>Date</t>
  </si>
  <si>
    <t>Reference No.</t>
  </si>
  <si>
    <t>Guest Name / No.of Guest</t>
  </si>
  <si>
    <t>Check-in Date</t>
  </si>
  <si>
    <t>Check-out Date</t>
  </si>
  <si>
    <t>No.Of Night</t>
  </si>
  <si>
    <t>Remark</t>
  </si>
  <si>
    <t>Category</t>
  </si>
  <si>
    <t>QTY</t>
  </si>
  <si>
    <t>Description</t>
  </si>
  <si>
    <t>Rate
(per total QTY)</t>
  </si>
  <si>
    <t>Deposit</t>
  </si>
  <si>
    <t xml:space="preserve">Discount </t>
  </si>
  <si>
    <t>Total THB</t>
  </si>
  <si>
    <t>Accommodation &amp; Inclusive Package</t>
  </si>
  <si>
    <t>ราคาแต่ละรายการ</t>
  </si>
  <si>
    <t>ราคาหลังหักส่วนลด 10%</t>
  </si>
  <si>
    <t>ส่วนต่าง</t>
  </si>
  <si>
    <t>Food and Beverages (add-on) and Other Expenses</t>
  </si>
  <si>
    <t>I agree that my liability for this bill is not waived and agree to be held personally liable in the event that the indicated person, company or association fails to pay for any part of the full amount of these charges.</t>
  </si>
  <si>
    <t xml:space="preserve">Total </t>
  </si>
  <si>
    <t>ใช้เทียบกับยอด Total ว่าถูกหรือไม่</t>
  </si>
  <si>
    <t>Discount</t>
  </si>
  <si>
    <t xml:space="preserve">Outstanding </t>
  </si>
  <si>
    <t>THAI BAHT</t>
  </si>
  <si>
    <t>Guest Signature</t>
  </si>
  <si>
    <t>Receptionist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</si>
</sst>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quot;/&quot;m&quot;/&quot;yyyy&quot;, &quot;hh&quot;:&quot;mm"/>
    <numFmt numFmtId="165" formatCode="d/M/yyyy"/>
    <numFmt numFmtId="166" formatCode="_-* #,##0.00_-;\-* #,##0.00_-;_-* &quot;-&quot;??_-;_-@"/>
    <numFmt numFmtId="167" formatCode="_(* #,##0.00_);_(* \(#,##0.00\);_(* &quot;-&quot;??_);_(@_)"/>
  </numFmts>
  <fonts count="28">
    <font>
      <sz val="10.0"/>
      <color rgb="FF000000"/>
      <name val="Arial"/>
      <scheme val="minor"/>
    </font>
    <font>
      <sz val="16.0"/>
      <color theme="1"/>
      <name val="Sarabun"/>
    </font>
    <font>
      <sz val="55.0"/>
      <color theme="1"/>
      <name val="Sarabun"/>
    </font>
    <font>
      <sz val="49.0"/>
      <color theme="1"/>
      <name val="Leelawadee"/>
    </font>
    <font>
      <b/>
      <sz val="57.0"/>
      <color rgb="FFFF0000"/>
      <name val="Sarabun"/>
    </font>
    <font>
      <sz val="51.0"/>
      <color theme="1"/>
      <name val="Leelawadee"/>
    </font>
    <font>
      <sz val="49.0"/>
      <color theme="1"/>
      <name val="Sarabun"/>
    </font>
    <font>
      <b/>
      <sz val="48.0"/>
      <color theme="0"/>
      <name val="Sarabun"/>
    </font>
    <font/>
    <font>
      <sz val="48.0"/>
      <color theme="1"/>
      <name val="Sarabun"/>
    </font>
    <font>
      <sz val="42.0"/>
      <color theme="1"/>
      <name val="Sarabun"/>
    </font>
    <font>
      <b/>
      <sz val="42.0"/>
      <color theme="1"/>
      <name val="Sarabun"/>
    </font>
    <font>
      <b/>
      <sz val="42.0"/>
      <color theme="0"/>
      <name val="Sarabun"/>
    </font>
    <font>
      <b/>
      <sz val="42.0"/>
      <color rgb="FFFFFFFF"/>
      <name val="Sarabun"/>
    </font>
    <font>
      <sz val="30.0"/>
      <color theme="1"/>
      <name val="Sarabun"/>
    </font>
    <font>
      <b/>
      <sz val="16.0"/>
      <color rgb="FFFFFF00"/>
      <name val="Sarabun"/>
    </font>
    <font>
      <sz val="16.0"/>
      <color rgb="FFFF0000"/>
      <name val="Sarabun"/>
    </font>
    <font>
      <sz val="33.0"/>
      <color theme="1"/>
      <name val="Sarabun"/>
    </font>
    <font>
      <sz val="35.0"/>
      <color theme="1"/>
      <name val="Sarabun"/>
    </font>
    <font>
      <b/>
      <sz val="33.0"/>
      <color theme="1"/>
      <name val="Sarabun"/>
    </font>
    <font>
      <b/>
      <sz val="18.0"/>
      <color rgb="FFFF0000"/>
      <name val="Sarabun"/>
    </font>
    <font>
      <sz val="28.0"/>
      <color theme="1"/>
      <name val="Sarabun"/>
    </font>
    <font>
      <sz val="46.0"/>
      <color theme="1"/>
      <name val="Sarabun"/>
    </font>
    <font>
      <sz val="36.0"/>
      <color theme="1"/>
      <name val="Sarabun"/>
    </font>
    <font>
      <b/>
      <sz val="46.0"/>
      <color theme="1"/>
      <name val="Sarabun"/>
    </font>
    <font>
      <b/>
      <sz val="38.0"/>
      <color rgb="FFFF0000"/>
      <name val="Sarabun"/>
    </font>
    <font>
      <b/>
      <sz val="46.0"/>
      <color theme="0"/>
      <name val="Sarabun"/>
    </font>
    <font>
      <b/>
      <sz val="36.0"/>
      <color theme="1"/>
      <name val="Sarabun"/>
    </font>
  </fonts>
  <fills count="11">
    <fill>
      <patternFill patternType="none"/>
    </fill>
    <fill>
      <patternFill patternType="lightGray"/>
    </fill>
    <fill>
      <patternFill patternType="solid">
        <fgColor rgb="FFFFFFFF"/>
        <bgColor rgb="FFFFFFFF"/>
      </patternFill>
    </fill>
    <fill>
      <patternFill patternType="solid">
        <fgColor rgb="FF31859B"/>
        <bgColor rgb="FF31859B"/>
      </patternFill>
    </fill>
    <fill>
      <patternFill patternType="solid">
        <fgColor rgb="FFA2C4C9"/>
        <bgColor rgb="FFA2C4C9"/>
      </patternFill>
    </fill>
    <fill>
      <patternFill patternType="solid">
        <fgColor rgb="FFD9D9D9"/>
        <bgColor rgb="FFD9D9D9"/>
      </patternFill>
    </fill>
    <fill>
      <patternFill patternType="solid">
        <fgColor rgb="FFFFFF00"/>
        <bgColor rgb="FFFFFF00"/>
      </patternFill>
    </fill>
    <fill>
      <patternFill patternType="solid">
        <fgColor rgb="FFFF0000"/>
        <bgColor rgb="FFFF0000"/>
      </patternFill>
    </fill>
    <fill>
      <patternFill patternType="solid">
        <fgColor rgb="FFB6DDE8"/>
        <bgColor rgb="FFB6DDE8"/>
      </patternFill>
    </fill>
    <fill>
      <patternFill patternType="solid">
        <fgColor rgb="FFD6E3BC"/>
        <bgColor rgb="FFD6E3BC"/>
      </patternFill>
    </fill>
    <fill>
      <patternFill patternType="solid">
        <fgColor rgb="FFF2F2F2"/>
        <bgColor rgb="FFF2F2F2"/>
      </patternFill>
    </fill>
  </fills>
  <borders count="42">
    <border/>
    <border>
      <left/>
      <right/>
      <top/>
      <bottom/>
    </border>
    <border>
      <left style="thick">
        <color rgb="FF595959"/>
      </left>
      <top style="thick">
        <color rgb="FF595959"/>
      </top>
      <bottom/>
    </border>
    <border>
      <top style="thick">
        <color rgb="FF595959"/>
      </top>
      <bottom/>
    </border>
    <border>
      <right style="thin">
        <color rgb="FFF2DBDB"/>
      </right>
      <top style="thick">
        <color rgb="FF595959"/>
      </top>
      <bottom/>
    </border>
    <border>
      <left style="thin">
        <color rgb="FFF2DBDB"/>
      </left>
      <top style="thick">
        <color rgb="FF595959"/>
      </top>
      <bottom/>
    </border>
    <border>
      <right style="thick">
        <color rgb="FF595959"/>
      </right>
      <top style="thick">
        <color rgb="FF595959"/>
      </top>
      <bottom/>
    </border>
    <border>
      <left style="thick">
        <color rgb="FF595959"/>
      </left>
      <bottom style="thin">
        <color rgb="FF1F497D"/>
      </bottom>
    </border>
    <border>
      <right style="thin">
        <color rgb="FFF2DBDB"/>
      </right>
      <bottom style="thin">
        <color rgb="FF1F497D"/>
      </bottom>
    </border>
    <border>
      <left style="thin">
        <color rgb="FFF2DBDB"/>
      </left>
    </border>
    <border>
      <left style="thin">
        <color rgb="FFF2DBDB"/>
      </left>
      <bottom style="thin">
        <color rgb="FF1F497D"/>
      </bottom>
    </border>
    <border>
      <bottom style="thin">
        <color rgb="FF1F497D"/>
      </bottom>
    </border>
    <border>
      <right style="thick">
        <color rgb="FF595959"/>
      </right>
      <bottom style="thin">
        <color rgb="FF1F497D"/>
      </bottom>
    </border>
    <border>
      <left style="thick">
        <color rgb="FF595959"/>
      </left>
      <top/>
      <bottom/>
    </border>
    <border>
      <right style="thin">
        <color rgb="FFF2DBDB"/>
      </right>
      <top/>
      <bottom/>
    </border>
    <border>
      <left style="thin">
        <color rgb="FFF2DBDB"/>
      </left>
      <top/>
      <bottom/>
    </border>
    <border>
      <right/>
      <top/>
      <bottom/>
    </border>
    <border>
      <left style="thin">
        <color rgb="FFF2DBDB"/>
      </left>
      <right style="thin">
        <color rgb="FFF2DBDB"/>
      </right>
      <top/>
      <bottom/>
    </border>
    <border>
      <left style="thin">
        <color rgb="FFF2DBDB"/>
      </left>
      <top style="thin">
        <color rgb="FF1F497D"/>
      </top>
      <bottom/>
    </border>
    <border>
      <right style="thick">
        <color rgb="FF595959"/>
      </right>
      <top style="thin">
        <color rgb="FF1F497D"/>
      </top>
      <bottom/>
    </border>
    <border>
      <left style="thick">
        <color rgb="FF595959"/>
      </left>
      <bottom style="thick">
        <color rgb="FF595959"/>
      </bottom>
    </border>
    <border>
      <right style="thin">
        <color rgb="FFF2DBDB"/>
      </right>
      <bottom style="thick">
        <color rgb="FF595959"/>
      </bottom>
    </border>
    <border>
      <left style="thin">
        <color rgb="FFF2DBDB"/>
      </left>
      <bottom style="thick">
        <color rgb="FF595959"/>
      </bottom>
    </border>
    <border>
      <left style="thin">
        <color rgb="FFF2DBDB"/>
      </left>
      <right style="thin">
        <color rgb="FFF2DBDB"/>
      </right>
      <bottom style="thick">
        <color rgb="FF595959"/>
      </bottom>
    </border>
    <border>
      <left style="thin">
        <color rgb="FFF2DBDB"/>
      </left>
      <right style="thick">
        <color rgb="FF595959"/>
      </right>
      <bottom style="thick">
        <color rgb="FF595959"/>
      </bottom>
    </border>
    <border>
      <left style="thick">
        <color rgb="FFFFF2CC"/>
      </left>
      <right style="thick">
        <color rgb="FFFFF2CC"/>
      </right>
      <top style="thick">
        <color rgb="FFFFF2CC"/>
      </top>
    </border>
    <border>
      <left style="thick">
        <color rgb="FFFFF2CC"/>
      </left>
      <right style="thick">
        <color rgb="FFFFF2CC"/>
      </right>
    </border>
    <border>
      <left/>
      <right/>
      <top/>
    </border>
    <border>
      <left style="thick">
        <color rgb="FFFFF2CC"/>
      </left>
    </border>
    <border>
      <right style="thick">
        <color rgb="FFFFF2CC"/>
      </right>
    </border>
    <border>
      <left/>
      <right/>
      <bottom/>
    </border>
    <border>
      <left style="thick">
        <color rgb="FFFFF2CC"/>
      </left>
      <right style="thick">
        <color rgb="FFFFF2CC"/>
      </right>
      <bottom style="thick">
        <color rgb="FFFFF2CC"/>
      </bottom>
    </border>
    <border>
      <left/>
    </border>
    <border>
      <right/>
    </border>
    <border>
      <left style="thick">
        <color rgb="FF000000"/>
      </left>
      <right style="medium">
        <color rgb="FF000000"/>
      </right>
      <top style="thick">
        <color rgb="FF000000"/>
      </top>
      <bottom style="thick">
        <color rgb="FF000000"/>
      </bottom>
    </border>
    <border>
      <left style="medium">
        <color rgb="FF000000"/>
      </left>
      <right style="thick">
        <color rgb="FF000000"/>
      </right>
      <top style="thick">
        <color rgb="FF000000"/>
      </top>
      <bottom style="thick">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bottom/>
    </border>
    <border>
      <bottom/>
    </border>
    <border>
      <right/>
      <bottom/>
    </border>
    <border>
      <bottom style="medium">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vertical="center"/>
    </xf>
    <xf borderId="1" fillId="2" fontId="1" numFmtId="0" xfId="0" applyAlignment="1" applyBorder="1" applyFill="1" applyFont="1">
      <alignment horizontal="left"/>
    </xf>
    <xf borderId="1" fillId="2" fontId="2" numFmtId="0" xfId="0" applyAlignment="1" applyBorder="1" applyFont="1">
      <alignment horizontal="left" vertical="center"/>
    </xf>
    <xf borderId="0" fillId="0" fontId="2" numFmtId="0" xfId="0" applyFont="1"/>
    <xf borderId="0" fillId="0" fontId="3" numFmtId="0" xfId="0" applyFont="1"/>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horizontal="right" vertical="center"/>
    </xf>
    <xf borderId="0" fillId="0" fontId="5" numFmtId="0" xfId="0" applyAlignment="1" applyFont="1">
      <alignment horizontal="center" readingOrder="0" vertical="center"/>
    </xf>
    <xf borderId="0" fillId="0" fontId="2" numFmtId="0" xfId="0" applyAlignment="1" applyFont="1">
      <alignment horizontal="left" vertical="center"/>
    </xf>
    <xf borderId="0" fillId="0" fontId="6" numFmtId="164" xfId="0" applyAlignment="1" applyFont="1" applyNumberFormat="1">
      <alignment horizontal="center" vertical="center"/>
    </xf>
    <xf borderId="0" fillId="0" fontId="6" numFmtId="0" xfId="0" applyAlignment="1" applyFont="1">
      <alignment vertical="center"/>
    </xf>
    <xf borderId="2" fillId="3" fontId="7" numFmtId="0" xfId="0" applyAlignment="1" applyBorder="1" applyFill="1" applyFont="1">
      <alignment horizontal="center" vertical="center"/>
    </xf>
    <xf borderId="3" fillId="0" fontId="8" numFmtId="0" xfId="0" applyBorder="1" applyFont="1"/>
    <xf borderId="4" fillId="0" fontId="8" numFmtId="0" xfId="0" applyBorder="1" applyFont="1"/>
    <xf borderId="5" fillId="3" fontId="7" numFmtId="0" xfId="0" applyAlignment="1" applyBorder="1" applyFont="1">
      <alignment horizontal="center" vertical="center"/>
    </xf>
    <xf borderId="6" fillId="0" fontId="8" numFmtId="0" xfId="0" applyBorder="1" applyFont="1"/>
    <xf borderId="7" fillId="0" fontId="9" numFmtId="0" xfId="0" applyAlignment="1" applyBorder="1" applyFont="1">
      <alignment horizontal="center" readingOrder="0" vertical="center"/>
    </xf>
    <xf borderId="8" fillId="0" fontId="8" numFmtId="0" xfId="0" applyBorder="1" applyFont="1"/>
    <xf borderId="9" fillId="0" fontId="9" numFmtId="0" xfId="0" applyAlignment="1" applyBorder="1" applyFont="1">
      <alignment horizontal="center" vertical="center"/>
    </xf>
    <xf borderId="10" fillId="0" fontId="9" numFmtId="0" xfId="0" applyAlignment="1" applyBorder="1" applyFont="1">
      <alignment horizontal="center" readingOrder="0" vertical="center"/>
    </xf>
    <xf borderId="11" fillId="0" fontId="8" numFmtId="0" xfId="0" applyBorder="1" applyFont="1"/>
    <xf borderId="12" fillId="0" fontId="8" numFmtId="0" xfId="0" applyBorder="1" applyFont="1"/>
    <xf borderId="13" fillId="3" fontId="7" numFmtId="0" xfId="0" applyAlignment="1" applyBorder="1" applyFont="1">
      <alignment horizontal="center" vertical="center"/>
    </xf>
    <xf borderId="14" fillId="0" fontId="8" numFmtId="0" xfId="0" applyBorder="1" applyFont="1"/>
    <xf borderId="15" fillId="3" fontId="7" numFmtId="0" xfId="0" applyAlignment="1" applyBorder="1" applyFont="1">
      <alignment horizontal="center" vertical="center"/>
    </xf>
    <xf borderId="16" fillId="0" fontId="8" numFmtId="0" xfId="0" applyBorder="1" applyFont="1"/>
    <xf borderId="17" fillId="3" fontId="7" numFmtId="0" xfId="0" applyAlignment="1" applyBorder="1" applyFont="1">
      <alignment horizontal="center" vertical="center"/>
    </xf>
    <xf borderId="18" fillId="3" fontId="7" numFmtId="0" xfId="0" applyAlignment="1" applyBorder="1" applyFont="1">
      <alignment horizontal="center" shrinkToFit="0" vertical="center" wrapText="1"/>
    </xf>
    <xf borderId="19" fillId="0" fontId="8" numFmtId="0" xfId="0" applyBorder="1" applyFont="1"/>
    <xf borderId="20" fillId="0" fontId="9" numFmtId="165" xfId="0" applyAlignment="1" applyBorder="1" applyFont="1" applyNumberFormat="1">
      <alignment horizontal="center" vertical="center"/>
    </xf>
    <xf borderId="21" fillId="0" fontId="8" numFmtId="0" xfId="0" applyBorder="1" applyFont="1"/>
    <xf borderId="22" fillId="0" fontId="9" numFmtId="165" xfId="0" applyAlignment="1" applyBorder="1" applyFont="1" applyNumberFormat="1">
      <alignment horizontal="center" vertical="center"/>
    </xf>
    <xf borderId="23" fillId="0" fontId="9" numFmtId="0" xfId="0" applyAlignment="1" applyBorder="1" applyFont="1">
      <alignment horizontal="center" readingOrder="0" vertical="center"/>
    </xf>
    <xf borderId="24" fillId="0" fontId="9" numFmtId="0" xfId="0" applyAlignment="1" applyBorder="1" applyFont="1">
      <alignment horizontal="center" readingOrder="0" vertical="center"/>
    </xf>
    <xf borderId="0" fillId="0" fontId="9" numFmtId="0" xfId="0" applyAlignment="1" applyFont="1">
      <alignment vertical="center"/>
    </xf>
    <xf borderId="0" fillId="0" fontId="9" numFmtId="0" xfId="0" applyAlignment="1" applyFont="1">
      <alignment horizontal="center" vertical="center"/>
    </xf>
    <xf borderId="25" fillId="3" fontId="7" numFmtId="0" xfId="0" applyAlignment="1" applyBorder="1" applyFont="1">
      <alignment horizontal="center" vertical="center"/>
    </xf>
    <xf borderId="25" fillId="3" fontId="7" numFmtId="0" xfId="0" applyAlignment="1" applyBorder="1" applyFont="1">
      <alignment horizontal="center" shrinkToFit="0" vertical="center" wrapText="1"/>
    </xf>
    <xf borderId="0" fillId="0" fontId="1" numFmtId="0" xfId="0" applyAlignment="1" applyFont="1">
      <alignment horizontal="center" shrinkToFit="0" wrapText="1"/>
    </xf>
    <xf borderId="0" fillId="0" fontId="1" numFmtId="0" xfId="0" applyAlignment="1" applyFont="1">
      <alignment shrinkToFit="0" wrapText="1"/>
    </xf>
    <xf borderId="0" fillId="0" fontId="10" numFmtId="0" xfId="0" applyFont="1"/>
    <xf borderId="26" fillId="4" fontId="11" numFmtId="0" xfId="0" applyAlignment="1" applyBorder="1" applyFill="1" applyFont="1">
      <alignment horizontal="left" vertical="center"/>
    </xf>
    <xf borderId="26" fillId="4" fontId="12" numFmtId="0" xfId="0" applyAlignment="1" applyBorder="1" applyFont="1">
      <alignment horizontal="center" vertical="center"/>
    </xf>
    <xf borderId="26" fillId="4" fontId="12" numFmtId="0" xfId="0" applyAlignment="1" applyBorder="1" applyFont="1">
      <alignment horizontal="left" vertical="center"/>
    </xf>
    <xf borderId="26" fillId="4" fontId="13" numFmtId="4" xfId="0" applyAlignment="1" applyBorder="1" applyFont="1" applyNumberFormat="1">
      <alignment horizontal="center" readingOrder="0" vertical="center"/>
    </xf>
    <xf borderId="26" fillId="4" fontId="10" numFmtId="4" xfId="0" applyAlignment="1" applyBorder="1" applyFont="1" applyNumberFormat="1">
      <alignment horizontal="center" vertical="center"/>
    </xf>
    <xf borderId="26" fillId="4" fontId="12" numFmtId="4" xfId="0" applyAlignment="1" applyBorder="1" applyFont="1" applyNumberFormat="1">
      <alignment horizontal="center" vertical="center"/>
    </xf>
    <xf borderId="26" fillId="5" fontId="14" numFmtId="0" xfId="0" applyAlignment="1" applyBorder="1" applyFill="1" applyFont="1">
      <alignment horizontal="center" readingOrder="0" vertical="center"/>
    </xf>
    <xf borderId="26" fillId="5" fontId="14" numFmtId="0" xfId="0" applyAlignment="1" applyBorder="1" applyFont="1">
      <alignment horizontal="left" readingOrder="0" vertical="center"/>
    </xf>
    <xf borderId="26" fillId="5" fontId="14" numFmtId="166" xfId="0" applyAlignment="1" applyBorder="1" applyFont="1" applyNumberFormat="1">
      <alignment readingOrder="0" vertical="center"/>
    </xf>
    <xf borderId="26" fillId="5" fontId="14" numFmtId="166" xfId="0" applyAlignment="1" applyBorder="1" applyFont="1" applyNumberFormat="1">
      <alignment vertical="center"/>
    </xf>
    <xf borderId="0" fillId="0" fontId="1" numFmtId="166" xfId="0" applyFont="1" applyNumberFormat="1"/>
    <xf borderId="26" fillId="0" fontId="14" numFmtId="0" xfId="0" applyAlignment="1" applyBorder="1" applyFont="1">
      <alignment horizontal="center" readingOrder="0" vertical="center"/>
    </xf>
    <xf borderId="26" fillId="0" fontId="14" numFmtId="0" xfId="0" applyAlignment="1" applyBorder="1" applyFont="1">
      <alignment horizontal="left" readingOrder="0" vertical="center"/>
    </xf>
    <xf borderId="26" fillId="0" fontId="14" numFmtId="166" xfId="0" applyAlignment="1" applyBorder="1" applyFont="1" applyNumberFormat="1">
      <alignment vertical="center"/>
    </xf>
    <xf borderId="26" fillId="5" fontId="14" numFmtId="166" xfId="0" applyAlignment="1" applyBorder="1" applyFont="1" applyNumberFormat="1">
      <alignment horizontal="center" vertical="center"/>
    </xf>
    <xf borderId="26" fillId="0" fontId="14" numFmtId="167" xfId="0" applyAlignment="1" applyBorder="1" applyFont="1" applyNumberFormat="1">
      <alignment horizontal="center" vertical="center"/>
    </xf>
    <xf borderId="26" fillId="0" fontId="14" numFmtId="4" xfId="0" applyAlignment="1" applyBorder="1" applyFont="1" applyNumberFormat="1">
      <alignment horizontal="center" readingOrder="0" vertical="center"/>
    </xf>
    <xf borderId="26" fillId="5" fontId="14" numFmtId="167" xfId="0" applyAlignment="1" applyBorder="1" applyFont="1" applyNumberFormat="1">
      <alignment horizontal="center" vertical="center"/>
    </xf>
    <xf borderId="26" fillId="5" fontId="14" numFmtId="4" xfId="0" applyAlignment="1" applyBorder="1" applyFont="1" applyNumberFormat="1">
      <alignment horizontal="center" readingOrder="0" vertical="center"/>
    </xf>
    <xf borderId="26" fillId="0" fontId="14" numFmtId="0" xfId="0" applyAlignment="1" applyBorder="1" applyFont="1">
      <alignment horizontal="center" vertical="center"/>
    </xf>
    <xf borderId="26" fillId="0" fontId="14" numFmtId="0" xfId="0" applyAlignment="1" applyBorder="1" applyFont="1">
      <alignment horizontal="left" vertical="center"/>
    </xf>
    <xf borderId="26" fillId="0" fontId="14" numFmtId="166" xfId="0" applyAlignment="1" applyBorder="1" applyFont="1" applyNumberFormat="1">
      <alignment horizontal="center" vertical="center"/>
    </xf>
    <xf borderId="26" fillId="5" fontId="14" numFmtId="0" xfId="0" applyAlignment="1" applyBorder="1" applyFont="1">
      <alignment horizontal="center" vertical="center"/>
    </xf>
    <xf borderId="26" fillId="5" fontId="14" numFmtId="0" xfId="0" applyAlignment="1" applyBorder="1" applyFont="1">
      <alignment horizontal="left" vertical="center"/>
    </xf>
    <xf borderId="27" fillId="6" fontId="1" numFmtId="0" xfId="0" applyAlignment="1" applyBorder="1" applyFill="1" applyFont="1">
      <alignment horizontal="center" shrinkToFit="0" wrapText="1"/>
    </xf>
    <xf borderId="27" fillId="7" fontId="15" numFmtId="0" xfId="0" applyAlignment="1" applyBorder="1" applyFill="1" applyFont="1">
      <alignment horizontal="center" shrinkToFit="0" wrapText="1"/>
    </xf>
    <xf borderId="27" fillId="8" fontId="16" numFmtId="0" xfId="0" applyAlignment="1" applyBorder="1" applyFill="1" applyFont="1">
      <alignment horizontal="center" vertical="center"/>
    </xf>
    <xf borderId="28" fillId="4" fontId="11" numFmtId="0" xfId="0" applyAlignment="1" applyBorder="1" applyFont="1">
      <alignment horizontal="left" vertical="center"/>
    </xf>
    <xf borderId="29" fillId="0" fontId="8" numFmtId="0" xfId="0" applyBorder="1" applyFont="1"/>
    <xf borderId="30" fillId="0" fontId="8" numFmtId="0" xfId="0" applyBorder="1" applyFont="1"/>
    <xf borderId="0" fillId="0" fontId="10" numFmtId="166" xfId="0" applyFont="1" applyNumberFormat="1"/>
    <xf borderId="26" fillId="5" fontId="17" numFmtId="0" xfId="0" applyAlignment="1" applyBorder="1" applyFont="1">
      <alignment horizontal="center" readingOrder="0" vertical="center"/>
    </xf>
    <xf borderId="26" fillId="5" fontId="17" numFmtId="0" xfId="0" applyAlignment="1" applyBorder="1" applyFont="1">
      <alignment horizontal="left" readingOrder="0" vertical="center"/>
    </xf>
    <xf borderId="26" fillId="5" fontId="17" numFmtId="166" xfId="0" applyAlignment="1" applyBorder="1" applyFont="1" applyNumberFormat="1">
      <alignment horizontal="right" readingOrder="0" vertical="center"/>
    </xf>
    <xf borderId="26" fillId="5" fontId="17" numFmtId="166" xfId="0" applyAlignment="1" applyBorder="1" applyFont="1" applyNumberFormat="1">
      <alignment horizontal="right" vertical="center"/>
    </xf>
    <xf borderId="26" fillId="5" fontId="17" numFmtId="166" xfId="0" applyAlignment="1" applyBorder="1" applyFont="1" applyNumberFormat="1">
      <alignment vertical="center"/>
    </xf>
    <xf borderId="1" fillId="9" fontId="1" numFmtId="0" xfId="0" applyBorder="1" applyFill="1" applyFont="1"/>
    <xf borderId="26" fillId="0" fontId="17" numFmtId="0" xfId="0" applyAlignment="1" applyBorder="1" applyFont="1">
      <alignment horizontal="center" readingOrder="0" vertical="center"/>
    </xf>
    <xf borderId="26" fillId="0" fontId="17" numFmtId="0" xfId="0" applyAlignment="1" applyBorder="1" applyFont="1">
      <alignment horizontal="left" readingOrder="0" vertical="center"/>
    </xf>
    <xf borderId="26" fillId="0" fontId="17" numFmtId="166" xfId="0" applyAlignment="1" applyBorder="1" applyFont="1" applyNumberFormat="1">
      <alignment horizontal="right" vertical="center"/>
    </xf>
    <xf borderId="26" fillId="0" fontId="17" numFmtId="166" xfId="0" applyAlignment="1" applyBorder="1" applyFont="1" applyNumberFormat="1">
      <alignment vertical="center"/>
    </xf>
    <xf borderId="26" fillId="5" fontId="17" numFmtId="0" xfId="0" applyAlignment="1" applyBorder="1" applyFont="1">
      <alignment horizontal="center" vertical="center"/>
    </xf>
    <xf borderId="26" fillId="5" fontId="17" numFmtId="0" xfId="0" applyAlignment="1" applyBorder="1" applyFont="1">
      <alignment horizontal="left" vertical="center"/>
    </xf>
    <xf borderId="26" fillId="0" fontId="17" numFmtId="0" xfId="0" applyAlignment="1" applyBorder="1" applyFont="1">
      <alignment horizontal="center" vertical="center"/>
    </xf>
    <xf borderId="26" fillId="0" fontId="17" numFmtId="0" xfId="0" applyAlignment="1" applyBorder="1" applyFont="1">
      <alignment horizontal="left" vertical="center"/>
    </xf>
    <xf borderId="31" fillId="0" fontId="17" numFmtId="0" xfId="0" applyAlignment="1" applyBorder="1" applyFont="1">
      <alignment horizontal="center" vertical="center"/>
    </xf>
    <xf borderId="31" fillId="0" fontId="17" numFmtId="0" xfId="0" applyAlignment="1" applyBorder="1" applyFont="1">
      <alignment horizontal="left" vertical="center"/>
    </xf>
    <xf borderId="31" fillId="0" fontId="17" numFmtId="166" xfId="0" applyAlignment="1" applyBorder="1" applyFont="1" applyNumberFormat="1">
      <alignment horizontal="right" vertical="center"/>
    </xf>
    <xf borderId="31" fillId="0" fontId="17" numFmtId="166" xfId="0" applyAlignment="1" applyBorder="1" applyFont="1" applyNumberFormat="1">
      <alignment vertical="center"/>
    </xf>
    <xf borderId="0" fillId="10" fontId="17" numFmtId="0" xfId="0" applyAlignment="1" applyFill="1" applyFont="1">
      <alignment horizontal="center" shrinkToFit="0" vertical="center" wrapText="1"/>
    </xf>
    <xf borderId="0" fillId="10" fontId="18" numFmtId="0" xfId="0" applyAlignment="1" applyFont="1">
      <alignment horizontal="left" readingOrder="0" shrinkToFit="0" vertical="center" wrapText="1"/>
    </xf>
    <xf borderId="0" fillId="10" fontId="17" numFmtId="0" xfId="0" applyAlignment="1" applyFont="1">
      <alignment horizontal="right" shrinkToFit="0" vertical="center" wrapText="1"/>
    </xf>
    <xf borderId="0" fillId="10" fontId="17" numFmtId="0" xfId="0" applyAlignment="1" applyFont="1">
      <alignment horizontal="right" vertical="center"/>
    </xf>
    <xf borderId="0" fillId="10" fontId="19" numFmtId="0" xfId="0" applyAlignment="1" applyFont="1">
      <alignment horizontal="right" vertical="center"/>
    </xf>
    <xf borderId="0" fillId="10" fontId="19" numFmtId="166" xfId="0" applyAlignment="1" applyFont="1" applyNumberFormat="1">
      <alignment horizontal="center" vertical="center"/>
    </xf>
    <xf borderId="0" fillId="6" fontId="20" numFmtId="166" xfId="0" applyFont="1" applyNumberFormat="1"/>
    <xf borderId="0" fillId="0" fontId="21" numFmtId="0" xfId="0" applyFont="1"/>
    <xf borderId="32" fillId="2" fontId="22" numFmtId="0" xfId="0" applyAlignment="1" applyBorder="1" applyFont="1">
      <alignment horizontal="center" shrinkToFit="0" vertical="center" wrapText="1"/>
    </xf>
    <xf borderId="33" fillId="0" fontId="8" numFmtId="0" xfId="0" applyBorder="1" applyFont="1"/>
    <xf borderId="0" fillId="0" fontId="23" numFmtId="0" xfId="0" applyFont="1"/>
    <xf borderId="34" fillId="0" fontId="24" numFmtId="0" xfId="0" applyAlignment="1" applyBorder="1" applyFont="1">
      <alignment horizontal="left" vertical="center"/>
    </xf>
    <xf borderId="35" fillId="0" fontId="24" numFmtId="166" xfId="0" applyAlignment="1" applyBorder="1" applyFont="1" applyNumberFormat="1">
      <alignment horizontal="center" vertical="center"/>
    </xf>
    <xf borderId="1" fillId="6" fontId="25" numFmtId="166" xfId="0" applyAlignment="1" applyBorder="1" applyFont="1" applyNumberFormat="1">
      <alignment vertical="center"/>
    </xf>
    <xf borderId="32" fillId="0" fontId="8" numFmtId="0" xfId="0" applyBorder="1" applyFont="1"/>
    <xf borderId="36" fillId="0" fontId="24" numFmtId="0" xfId="0" applyAlignment="1" applyBorder="1" applyFont="1">
      <alignment horizontal="left" vertical="center"/>
    </xf>
    <xf borderId="36" fillId="0" fontId="24" numFmtId="167" xfId="0" applyAlignment="1" applyBorder="1" applyFont="1" applyNumberFormat="1">
      <alignment horizontal="center" vertical="center"/>
    </xf>
    <xf borderId="37" fillId="0" fontId="24" numFmtId="0" xfId="0" applyBorder="1" applyFont="1"/>
    <xf borderId="37" fillId="0" fontId="24" numFmtId="167" xfId="0" applyBorder="1" applyFont="1" applyNumberFormat="1"/>
    <xf borderId="37" fillId="0" fontId="24" numFmtId="0" xfId="0" applyAlignment="1" applyBorder="1" applyFont="1">
      <alignment horizontal="left" vertical="center"/>
    </xf>
    <xf borderId="37" fillId="3" fontId="26" numFmtId="167" xfId="0" applyAlignment="1" applyBorder="1" applyFont="1" applyNumberFormat="1">
      <alignment horizontal="center" vertical="center"/>
    </xf>
    <xf borderId="38" fillId="0" fontId="8" numFmtId="0" xfId="0" applyBorder="1" applyFont="1"/>
    <xf borderId="39" fillId="0" fontId="8" numFmtId="0" xfId="0" applyBorder="1" applyFont="1"/>
    <xf borderId="40" fillId="0" fontId="8" numFmtId="0" xfId="0" applyBorder="1" applyFont="1"/>
    <xf borderId="0" fillId="0" fontId="22" numFmtId="0" xfId="0" applyFont="1"/>
    <xf borderId="0" fillId="0" fontId="24" numFmtId="0" xfId="0" applyAlignment="1" applyFont="1">
      <alignment horizontal="right"/>
    </xf>
    <xf borderId="1" fillId="2" fontId="23" numFmtId="0" xfId="0" applyAlignment="1" applyBorder="1" applyFont="1">
      <alignment horizontal="center" shrinkToFit="0" vertical="center" wrapText="1"/>
    </xf>
    <xf borderId="0" fillId="0" fontId="27" numFmtId="0" xfId="0" applyAlignment="1" applyFont="1">
      <alignment horizontal="right"/>
    </xf>
    <xf borderId="41" fillId="0" fontId="10" numFmtId="0" xfId="0" applyBorder="1" applyFont="1"/>
    <xf borderId="1" fillId="2" fontId="11" numFmtId="0" xfId="0" applyBorder="1" applyFont="1"/>
    <xf borderId="0" fillId="0" fontId="11" numFmtId="0" xfId="0" applyAlignment="1" applyFont="1">
      <alignment horizontal="center" vertical="center"/>
    </xf>
    <xf borderId="0" fillId="0" fontId="10" numFmtId="0" xfId="0" applyAlignment="1" applyFont="1">
      <alignment vertical="center"/>
    </xf>
    <xf borderId="0" fillId="0" fontId="10" numFmtId="0" xfId="0" applyAlignment="1" applyFont="1">
      <alignment horizontal="center" readingOrder="0"/>
    </xf>
  </cellXfs>
  <cellStyles count="1">
    <cellStyle xfId="0" name="Normal" builtinId="0"/>
  </cellStyles>
  <dxfs count="2">
    <dxf>
      <font/>
      <fill>
        <patternFill patternType="none"/>
      </fill>
      <border/>
    </dxf>
    <dxf>
      <font>
        <color theme="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2743200</xdr:colOff>
      <xdr:row>0</xdr:row>
      <xdr:rowOff>114300</xdr:rowOff>
    </xdr:from>
    <xdr:ext cx="15049500" cy="5438775"/>
    <xdr:sp>
      <xdr:nvSpPr>
        <xdr:cNvPr descr="Sales Receipt" id="3" name="Shape 3"/>
        <xdr:cNvSpPr txBox="1"/>
      </xdr:nvSpPr>
      <xdr:spPr>
        <a:xfrm>
          <a:off x="0" y="1855950"/>
          <a:ext cx="10692000" cy="3848100"/>
        </a:xfrm>
        <a:prstGeom prst="rect">
          <a:avLst/>
        </a:prstGeom>
        <a:noFill/>
        <a:ln>
          <a:noFill/>
        </a:ln>
      </xdr:spPr>
      <xdr:txBody>
        <a:bodyPr anchorCtr="0" anchor="ctr" bIns="45700" lIns="91425" spcFirstLastPara="1" rIns="91425" wrap="square" tIns="45700">
          <a:noAutofit/>
        </a:bodyPr>
        <a:lstStyle/>
        <a:p>
          <a:pPr indent="0" lvl="0" marL="0" rtl="0" algn="r">
            <a:spcBef>
              <a:spcPts val="0"/>
            </a:spcBef>
            <a:spcAft>
              <a:spcPts val="0"/>
            </a:spcAft>
            <a:buNone/>
          </a:pPr>
          <a:r>
            <a:rPr lang="en-US" sz="10800">
              <a:solidFill>
                <a:schemeClr val="dk1"/>
              </a:solidFill>
              <a:latin typeface="Georgia"/>
              <a:ea typeface="Georgia"/>
              <a:cs typeface="Georgia"/>
              <a:sym typeface="Georgia"/>
            </a:rPr>
            <a:t>INFORMATION</a:t>
          </a:r>
          <a:endParaRPr sz="10800">
            <a:solidFill>
              <a:schemeClr val="dk1"/>
            </a:solidFill>
            <a:latin typeface="Georgia"/>
            <a:ea typeface="Georgia"/>
            <a:cs typeface="Georgia"/>
            <a:sym typeface="Georgia"/>
          </a:endParaRPr>
        </a:p>
        <a:p>
          <a:pPr indent="0" lvl="0" marL="0" rtl="0" algn="r">
            <a:spcBef>
              <a:spcPts val="0"/>
            </a:spcBef>
            <a:spcAft>
              <a:spcPts val="0"/>
            </a:spcAft>
            <a:buNone/>
          </a:pPr>
          <a:r>
            <a:rPr lang="en-US" sz="10800">
              <a:solidFill>
                <a:schemeClr val="dk1"/>
              </a:solidFill>
              <a:latin typeface="Georgia"/>
              <a:ea typeface="Georgia"/>
              <a:cs typeface="Georgia"/>
              <a:sym typeface="Georgia"/>
            </a:rPr>
            <a:t>BILL</a:t>
          </a:r>
          <a:endParaRPr sz="3400">
            <a:latin typeface="Georgia"/>
            <a:ea typeface="Georgia"/>
            <a:cs typeface="Georgia"/>
            <a:sym typeface="Georgia"/>
          </a:endParaRPr>
        </a:p>
      </xdr:txBody>
    </xdr:sp>
    <xdr:clientData fLocksWithSheet="0"/>
  </xdr:oneCellAnchor>
  <xdr:oneCellAnchor>
    <xdr:from>
      <xdr:col>0</xdr:col>
      <xdr:colOff>9525</xdr:colOff>
      <xdr:row>1</xdr:row>
      <xdr:rowOff>514350</xdr:rowOff>
    </xdr:from>
    <xdr:ext cx="7534275" cy="6610350"/>
    <xdr:pic>
      <xdr:nvPicPr>
        <xdr:cNvPr id="0" name="image1.png" title="รูปภาพ"/>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fitToPage="1"/>
  </sheetPr>
  <sheetViews>
    <sheetView workbookViewId="0"/>
  </sheetViews>
  <sheetFormatPr customHeight="1" defaultColWidth="12.63" defaultRowHeight="15.75"/>
  <cols>
    <col customWidth="1" min="1" max="1" width="3.0"/>
    <col customWidth="1" min="2" max="2" width="64.38"/>
    <col customWidth="1" min="3" max="3" width="31.63"/>
    <col customWidth="1" min="4" max="4" width="149.13"/>
    <col customWidth="1" min="5" max="5" width="59.38"/>
    <col customWidth="1" min="6" max="6" width="58.88"/>
    <col customWidth="1" min="7" max="7" width="57.38"/>
    <col customWidth="1" min="8" max="8" width="65.38"/>
    <col customWidth="1" min="9" max="9" width="5.63"/>
    <col customWidth="1" hidden="1" min="10" max="10" width="10.63"/>
    <col customWidth="1" hidden="1" min="11" max="11" width="12.0"/>
    <col customWidth="1" hidden="1" min="12" max="12" width="9.13"/>
    <col customWidth="1" min="13" max="13" width="9.13"/>
    <col customWidth="1" min="14" max="14" width="37.88"/>
    <col customWidth="1" min="15" max="15" width="54.0"/>
    <col customWidth="1" min="16" max="17" width="8.63"/>
    <col customWidth="1" hidden="1" min="18" max="18" width="16.88"/>
    <col customWidth="1" hidden="1" min="19" max="19" width="12.88"/>
    <col customWidth="1" hidden="1" min="20" max="21" width="13.25"/>
    <col customWidth="1" hidden="1" min="22" max="64" width="8.63"/>
  </cols>
  <sheetData>
    <row r="1" ht="45.0" customHeight="1">
      <c r="A1" s="1"/>
      <c r="B1" s="1"/>
      <c r="C1" s="1"/>
      <c r="D1" s="1"/>
      <c r="E1" s="1"/>
      <c r="F1" s="1"/>
      <c r="G1" s="1"/>
      <c r="H1" s="1"/>
      <c r="I1" s="1"/>
      <c r="J1" s="1"/>
      <c r="K1" s="1"/>
      <c r="L1" s="1"/>
      <c r="M1" s="1"/>
      <c r="N1" s="1"/>
      <c r="O1" s="1"/>
      <c r="P1" s="1"/>
      <c r="Q1" s="1"/>
      <c r="R1" s="2" t="s">
        <v>0</v>
      </c>
      <c r="S1" s="2" t="s">
        <v>0</v>
      </c>
      <c r="T1" s="2" t="s">
        <v>0</v>
      </c>
      <c r="U1" s="2" t="s">
        <v>0</v>
      </c>
      <c r="V1" s="2" t="s">
        <v>0</v>
      </c>
      <c r="W1" s="2" t="s">
        <v>0</v>
      </c>
      <c r="X1" s="2" t="s">
        <v>0</v>
      </c>
      <c r="Y1" s="2" t="s">
        <v>0</v>
      </c>
      <c r="Z1" s="2" t="s">
        <v>0</v>
      </c>
      <c r="AA1" s="2" t="s">
        <v>0</v>
      </c>
      <c r="AB1" s="2" t="s">
        <v>0</v>
      </c>
      <c r="AC1" s="2" t="s">
        <v>0</v>
      </c>
      <c r="AD1" s="2" t="s">
        <v>0</v>
      </c>
      <c r="AE1" s="2" t="s">
        <v>0</v>
      </c>
      <c r="AF1" s="2" t="s">
        <v>0</v>
      </c>
      <c r="AG1" s="2" t="s">
        <v>0</v>
      </c>
      <c r="AH1" s="2" t="s">
        <v>0</v>
      </c>
      <c r="AI1" s="2" t="s">
        <v>0</v>
      </c>
      <c r="AJ1" s="2" t="s">
        <v>0</v>
      </c>
      <c r="AK1" s="2" t="s">
        <v>0</v>
      </c>
      <c r="AL1" s="2" t="s">
        <v>0</v>
      </c>
      <c r="AM1" s="2" t="s">
        <v>0</v>
      </c>
      <c r="AN1" s="2" t="s">
        <v>0</v>
      </c>
      <c r="AO1" s="2" t="s">
        <v>0</v>
      </c>
      <c r="AP1" s="2" t="s">
        <v>0</v>
      </c>
      <c r="AQ1" s="2" t="s">
        <v>0</v>
      </c>
      <c r="AR1" s="2" t="s">
        <v>0</v>
      </c>
      <c r="AS1" s="2" t="s">
        <v>0</v>
      </c>
      <c r="AT1" s="2" t="s">
        <v>0</v>
      </c>
      <c r="AU1" s="2" t="s">
        <v>0</v>
      </c>
      <c r="AV1" s="2" t="s">
        <v>0</v>
      </c>
      <c r="AW1" s="2" t="s">
        <v>0</v>
      </c>
      <c r="AX1" s="2" t="s">
        <v>0</v>
      </c>
      <c r="AY1" s="2" t="s">
        <v>0</v>
      </c>
      <c r="AZ1" s="2" t="s">
        <v>0</v>
      </c>
      <c r="BA1" s="2" t="s">
        <v>0</v>
      </c>
      <c r="BB1" s="2" t="s">
        <v>0</v>
      </c>
      <c r="BC1" s="2" t="s">
        <v>0</v>
      </c>
      <c r="BD1" s="2" t="s">
        <v>0</v>
      </c>
      <c r="BE1" s="2" t="s">
        <v>0</v>
      </c>
      <c r="BF1" s="2" t="s">
        <v>0</v>
      </c>
      <c r="BG1" s="2" t="s">
        <v>0</v>
      </c>
      <c r="BH1" s="2" t="s">
        <v>0</v>
      </c>
      <c r="BI1" s="2" t="s">
        <v>0</v>
      </c>
      <c r="BJ1" s="2" t="s">
        <v>0</v>
      </c>
      <c r="BK1" s="2" t="s">
        <v>0</v>
      </c>
      <c r="BL1" s="2" t="s">
        <v>0</v>
      </c>
    </row>
    <row r="2" ht="94.5" customHeight="1">
      <c r="A2" s="3"/>
      <c r="B2" s="3"/>
      <c r="C2" s="3"/>
      <c r="D2" s="3"/>
      <c r="E2" s="4"/>
      <c r="F2" s="3"/>
      <c r="G2" s="3"/>
      <c r="H2" s="3"/>
      <c r="I2" s="1"/>
      <c r="J2" s="1"/>
      <c r="K2" s="1"/>
      <c r="L2" s="1"/>
      <c r="M2" s="1"/>
      <c r="N2" s="1"/>
      <c r="O2" s="1"/>
      <c r="P2" s="1"/>
      <c r="Q2" s="1"/>
      <c r="R2" s="1" t="str">
        <f>IFERROR(__xludf.DUMMYFUNCTION(" QUERY('DATA REAL'!$A$2:$B1000,""SELECT B WHERE A = '""&amp;$B16&amp;""'"")"),"#REF!")</f>
        <v>#REF!</v>
      </c>
      <c r="S2" s="1" t="str">
        <f>IFERROR(__xludf.DUMMYFUNCTION(" QUERY('DATA REAL'!$A$2:$B1000,""SELECT B WHERE A = '""&amp;$B17&amp;""'"")"),"#REF!")</f>
        <v>#REF!</v>
      </c>
      <c r="T2" s="1" t="str">
        <f>IFERROR(__xludf.DUMMYFUNCTION(" QUERY('DATA REAL'!$A$2:$B1000,""SELECT B WHERE A = '""&amp;$B18&amp;""'"")"),"#REF!")</f>
        <v>#REF!</v>
      </c>
      <c r="U2" s="1" t="str">
        <f>IFERROR(__xludf.DUMMYFUNCTION(" QUERY('DATA REAL'!$A$2:$B1000,""SELECT B WHERE A = '""&amp;$B19&amp;""'"")"),"#REF!")</f>
        <v>#REF!</v>
      </c>
      <c r="V2" s="1" t="str">
        <f>IFERROR(__xludf.DUMMYFUNCTION(" QUERY('DATA REAL'!$A$2:$B1000,""SELECT B WHERE A = '""&amp;$B20&amp;""'"")"),"#REF!")</f>
        <v>#REF!</v>
      </c>
      <c r="W2" s="1" t="str">
        <f>IFERROR(__xludf.DUMMYFUNCTION(" QUERY('DATA REAL'!$A$2:$B1000,""SELECT B WHERE A = '""&amp;$B21&amp;""'"")"),"#REF!")</f>
        <v>#REF!</v>
      </c>
      <c r="X2" s="1" t="str">
        <f>IFERROR(__xludf.DUMMYFUNCTION(" QUERY('DATA REAL'!$A$2:$B1000,""SELECT B WHERE A = '""&amp;$B22&amp;""'"")"),"#REF!")</f>
        <v>#REF!</v>
      </c>
      <c r="Y2" s="1" t="str">
        <f>IFERROR(__xludf.DUMMYFUNCTION(" QUERY('DATA REAL'!$A$2:$B1000,""SELECT B WHERE A = '""&amp;$B23&amp;""'"")"),"#REF!")</f>
        <v>#REF!</v>
      </c>
      <c r="Z2" s="1" t="str">
        <f>IFERROR(__xludf.DUMMYFUNCTION(" QUERY('DATA REAL'!$A$2:$B1000,""SELECT B WHERE A = '""&amp;$B24&amp;""'"")"),"#REF!")</f>
        <v>#REF!</v>
      </c>
      <c r="AA2" s="1" t="str">
        <f>IFERROR(__xludf.DUMMYFUNCTION(" QUERY('DATA REAL'!$A$2:$B1000,""SELECT B WHERE A = '""&amp;$B25&amp;""'"")"),"#REF!")</f>
        <v>#REF!</v>
      </c>
      <c r="AB2" s="1" t="str">
        <f>IFERROR(__xludf.DUMMYFUNCTION(" QUERY('DATA REAL'!$A$2:$B1000,""SELECT B WHERE A = '""&amp;$B26&amp;""'"")"),"#REF!")</f>
        <v>#REF!</v>
      </c>
      <c r="AC2" s="1" t="str">
        <f>IFERROR(__xludf.DUMMYFUNCTION(" QUERY('DATA REAL'!$A$2:$B1000,""SELECT B WHERE A = '""&amp;$B27&amp;""'"")"),"#REF!")</f>
        <v>#REF!</v>
      </c>
      <c r="AD2" s="1" t="str">
        <f>IFERROR(__xludf.DUMMYFUNCTION(" QUERY('DATA REAL'!$A$2:$B1000,""SELECT B WHERE A = '""&amp;$B28&amp;""'"")"),"#REF!")</f>
        <v>#REF!</v>
      </c>
      <c r="AE2" s="1" t="str">
        <f>IFERROR(__xludf.DUMMYFUNCTION(" QUERY('DATA REAL'!$A$2:$B1000,""SELECT B WHERE A = '""&amp;$B29&amp;""'"")"),"#REF!")</f>
        <v>#REF!</v>
      </c>
      <c r="AF2" s="1" t="str">
        <f>IFERROR(__xludf.DUMMYFUNCTION(" QUERY('DATA REAL'!$A$2:$B1000,""SELECT B WHERE A = '""&amp;$B30&amp;""'"")"),"#REF!")</f>
        <v>#REF!</v>
      </c>
      <c r="AG2" s="1" t="str">
        <f>IFERROR(__xludf.DUMMYFUNCTION(" QUERY('DATA REAL'!$A$2:$B1000,""SELECT B WHERE A = '""&amp;$B31&amp;""'"")"),"#REF!")</f>
        <v>#REF!</v>
      </c>
      <c r="AH2" s="1" t="str">
        <f>IFERROR(__xludf.DUMMYFUNCTION(" QUERY('DATA REAL'!$A$2:$B1000,""SELECT B WHERE A = '""&amp;$B32&amp;""'"")"),"#REF!")</f>
        <v>#REF!</v>
      </c>
      <c r="AI2" s="1" t="str">
        <f>IFERROR(__xludf.DUMMYFUNCTION(" QUERY('DATA REAL'!$A$2:$B1000,""SELECT B WHERE A = '""&amp;$B33&amp;""'"")"),"#REF!")</f>
        <v>#REF!</v>
      </c>
      <c r="AJ2" s="1" t="str">
        <f>IFERROR(__xludf.DUMMYFUNCTION(" QUERY('DATA REAL'!$A$2:$B1000,""SELECT B WHERE A = '""&amp;$B34&amp;""'"")"),"#REF!")</f>
        <v>#REF!</v>
      </c>
      <c r="AK2" s="1" t="str">
        <f>IFERROR(__xludf.DUMMYFUNCTION(" QUERY('DATA REAL'!$A$2:$B1000,""SELECT B WHERE A = '""&amp;$B35&amp;""'"")"),"#REF!")</f>
        <v>#REF!</v>
      </c>
      <c r="AL2" s="1" t="str">
        <f>IFERROR(__xludf.DUMMYFUNCTION(" QUERY('DATA REAL'!$A$2:$B1000,""SELECT B WHERE A = '""&amp;$B36&amp;""'"")"),"#REF!")</f>
        <v>#REF!</v>
      </c>
      <c r="AM2" s="1" t="str">
        <f>IFERROR(__xludf.DUMMYFUNCTION(" QUERY('DATA REAL'!$A$2:$B1000,""SELECT B WHERE A = '""&amp;$B37&amp;""'"")"),"#REF!")</f>
        <v>#REF!</v>
      </c>
      <c r="AN2" s="1" t="str">
        <f>IFERROR(__xludf.DUMMYFUNCTION(" QUERY('DATA REAL'!$A$2:$B1000,""SELECT B WHERE A = '""&amp;$B38&amp;""'"")"),"#REF!")</f>
        <v>#REF!</v>
      </c>
      <c r="AO2" s="1" t="str">
        <f>IFERROR(__xludf.DUMMYFUNCTION(" QUERY('DATA REAL'!$A$2:$B1000,""SELECT B WHERE A = '""&amp;$B39&amp;""'"")"),"#REF!")</f>
        <v>#REF!</v>
      </c>
      <c r="AP2" s="1" t="str">
        <f>IFERROR(__xludf.DUMMYFUNCTION(" QUERY('DATA REAL'!$A$2:$B1000,""SELECT B WHERE A = '""&amp;$B40&amp;""'"")"),"#REF!")</f>
        <v>#REF!</v>
      </c>
      <c r="AQ2" s="1" t="str">
        <f>IFERROR(__xludf.DUMMYFUNCTION(" QUERY('DATA REAL'!$A$2:$B1000,""SELECT B WHERE A = '""&amp;$B41&amp;""'"")"),"#REF!")</f>
        <v>#REF!</v>
      </c>
      <c r="AR2" s="1" t="str">
        <f>IFERROR(__xludf.DUMMYFUNCTION(" QUERY('DATA REAL'!$A$2:$B1000,""SELECT B WHERE A = '""&amp;$B42&amp;""'"")"),"#REF!")</f>
        <v>#REF!</v>
      </c>
      <c r="AS2" s="1" t="str">
        <f>IFERROR(__xludf.DUMMYFUNCTION(" QUERY('DATA REAL'!$A$2:$B1000,""SELECT B WHERE A = '""&amp;$B43&amp;""'"")"),"#REF!")</f>
        <v>#REF!</v>
      </c>
      <c r="AT2" s="1" t="str">
        <f>IFERROR(__xludf.DUMMYFUNCTION(" QUERY('DATA REAL'!$A$2:$B1000,""SELECT B WHERE A = '""&amp;$B44&amp;""'"")"),"#REF!")</f>
        <v>#REF!</v>
      </c>
      <c r="AU2" s="1" t="str">
        <f>IFERROR(__xludf.DUMMYFUNCTION(" QUERY('DATA REAL'!$A$2:$B1000,""SELECT B WHERE A = '""&amp;$B45&amp;""'"")"),"#REF!")</f>
        <v>#REF!</v>
      </c>
      <c r="AV2" s="1" t="str">
        <f>IFERROR(__xludf.DUMMYFUNCTION(" QUERY('DATA REAL'!$A$2:$B1000,""SELECT B WHERE A = '""&amp;$B46&amp;""'"")"),"#REF!")</f>
        <v>#REF!</v>
      </c>
      <c r="AW2" s="1" t="str">
        <f>IFERROR(__xludf.DUMMYFUNCTION(" QUERY('DATA REAL'!$A$2:$B1000,""SELECT B WHERE A = '""&amp;$B47&amp;""'"")"),"#REF!")</f>
        <v>#REF!</v>
      </c>
      <c r="AX2" s="1" t="str">
        <f>IFERROR(__xludf.DUMMYFUNCTION(" QUERY('DATA REAL'!$A$2:$B1000,""SELECT B WHERE A = '""&amp;$B48&amp;""'"")"),"#REF!")</f>
        <v>#REF!</v>
      </c>
      <c r="AY2" s="1" t="str">
        <f>IFERROR(__xludf.DUMMYFUNCTION(" QUERY('DATA REAL'!$A$2:$B1000,""SELECT B WHERE A = '""&amp;$B49&amp;""'"")"),"#REF!")</f>
        <v>#REF!</v>
      </c>
      <c r="AZ2" s="1" t="str">
        <f>IFERROR(__xludf.DUMMYFUNCTION(" QUERY('DATA REAL'!$A$2:$B1000,""SELECT B WHERE A = '""&amp;$B50&amp;""'"")"),"#REF!")</f>
        <v>#REF!</v>
      </c>
      <c r="BA2" s="1" t="str">
        <f>IFERROR(__xludf.DUMMYFUNCTION(" QUERY('DATA REAL'!$A$2:$B1000,""SELECT B WHERE A = '""&amp;$B51&amp;""'"")"),"#REF!")</f>
        <v>#REF!</v>
      </c>
      <c r="BB2" s="1" t="str">
        <f>IFERROR(__xludf.DUMMYFUNCTION(" QUERY('DATA REAL'!$A$2:$B1000,""SELECT B WHERE A = '""&amp;$B52&amp;""'"")"),"#REF!")</f>
        <v>#REF!</v>
      </c>
      <c r="BC2" s="1" t="str">
        <f>IFERROR(__xludf.DUMMYFUNCTION(" QUERY('DATA REAL'!$A$2:$B1000,""SELECT B WHERE A = '""&amp;$B53&amp;""'"")"),"#REF!")</f>
        <v>#REF!</v>
      </c>
      <c r="BD2" s="1" t="str">
        <f>IFERROR(__xludf.DUMMYFUNCTION(" QUERY('DATA REAL'!$A$2:$B1000,""SELECT B WHERE A = '""&amp;$B54&amp;""'"")"),"#REF!")</f>
        <v>#REF!</v>
      </c>
      <c r="BE2" s="1" t="str">
        <f>IFERROR(__xludf.DUMMYFUNCTION(" QUERY('DATA REAL'!$A$2:$B1000,""SELECT B WHERE A = '""&amp;$B55&amp;""'"")"),"#REF!")</f>
        <v>#REF!</v>
      </c>
      <c r="BF2" s="1" t="str">
        <f>IFERROR(__xludf.DUMMYFUNCTION(" QUERY('DATA REAL'!$A$2:$B1000,""SELECT B WHERE A = '""&amp;$B56&amp;""'"")"),"#REF!")</f>
        <v>#REF!</v>
      </c>
      <c r="BG2" s="1" t="str">
        <f>IFERROR(__xludf.DUMMYFUNCTION(" QUERY('DATA REAL'!$A$2:$B1000,""SELECT B WHERE A = '""&amp;$B57&amp;""'"")"),"#REF!")</f>
        <v>#REF!</v>
      </c>
      <c r="BH2" s="1" t="str">
        <f>IFERROR(__xludf.DUMMYFUNCTION(" QUERY('DATA REAL'!$A$2:$B1000,""SELECT B WHERE A = '""&amp;$B58&amp;""'"")"),"#REF!")</f>
        <v>#REF!</v>
      </c>
      <c r="BI2" s="1" t="str">
        <f>IFERROR(__xludf.DUMMYFUNCTION(" QUERY('DATA REAL'!$A$2:$B1000,""SELECT B WHERE A = '""&amp;$B59&amp;""'"")"),"#REF!")</f>
        <v>#REF!</v>
      </c>
      <c r="BJ2" s="1" t="str">
        <f>IFERROR(__xludf.DUMMYFUNCTION(" QUERY('DATA REAL'!$A$2:$B1000,""SELECT B WHERE A = '""&amp;$B60&amp;""'"")"),"#REF!")</f>
        <v>#REF!</v>
      </c>
      <c r="BK2" s="1" t="str">
        <f>IFERROR(__xludf.DUMMYFUNCTION(" QUERY('DATA REAL'!$A$2:$B1000,""SELECT B WHERE A = '""&amp;$B61&amp;""'"")"),"#REF!")</f>
        <v>#REF!</v>
      </c>
      <c r="BL2" s="1" t="str">
        <f>IFERROR(__xludf.DUMMYFUNCTION(" QUERY('DATA REAL'!$A$2:$B1000,""SELECT B WHERE A = '""&amp;$B62&amp;""'"")"),"#REF!")</f>
        <v>#REF!</v>
      </c>
    </row>
    <row r="3" ht="94.5" customHeight="1">
      <c r="A3" s="1"/>
      <c r="B3" s="1"/>
      <c r="C3" s="1"/>
      <c r="D3" s="5" t="s">
        <v>1</v>
      </c>
      <c r="E3" s="6"/>
      <c r="F3" s="7"/>
      <c r="G3" s="7"/>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ht="94.5" customHeight="1">
      <c r="A4" s="3"/>
      <c r="B4" s="1"/>
      <c r="C4" s="1"/>
      <c r="D4" s="5" t="s">
        <v>2</v>
      </c>
      <c r="E4" s="8"/>
      <c r="F4" s="9"/>
      <c r="G4" s="9"/>
      <c r="H4" s="9"/>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row>
    <row r="5" ht="94.5" customHeight="1">
      <c r="A5" s="3"/>
      <c r="B5" s="1"/>
      <c r="C5" s="1"/>
      <c r="D5" s="5" t="s">
        <v>3</v>
      </c>
      <c r="E5" s="8"/>
      <c r="F5" s="9"/>
      <c r="G5" s="9"/>
      <c r="H5" s="9"/>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row>
    <row r="6" ht="94.5" customHeight="1">
      <c r="A6" s="3"/>
      <c r="B6" s="1"/>
      <c r="C6" s="1"/>
      <c r="D6" s="5" t="s">
        <v>4</v>
      </c>
      <c r="E6" s="8"/>
      <c r="F6" s="9"/>
      <c r="G6" s="10" t="s">
        <v>5</v>
      </c>
      <c r="H6" s="1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row>
    <row r="7" ht="94.5" customHeight="1">
      <c r="A7" s="3"/>
      <c r="B7" s="1"/>
      <c r="C7" s="1"/>
      <c r="D7" s="12" t="s">
        <v>6</v>
      </c>
      <c r="E7" s="8"/>
      <c r="F7" s="9"/>
      <c r="G7" s="10" t="s">
        <v>7</v>
      </c>
      <c r="H7" s="13"/>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row>
    <row r="8" ht="67.5" customHeight="1">
      <c r="A8" s="3"/>
      <c r="B8" s="3"/>
      <c r="C8" s="3"/>
      <c r="D8" s="14"/>
      <c r="E8" s="14"/>
      <c r="F8" s="14"/>
      <c r="G8" s="14"/>
      <c r="H8" s="14"/>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row>
    <row r="9" ht="67.5" customHeight="1">
      <c r="A9" s="3"/>
      <c r="B9" s="15" t="s">
        <v>8</v>
      </c>
      <c r="C9" s="16"/>
      <c r="D9" s="16"/>
      <c r="E9" s="17"/>
      <c r="F9" s="18" t="s">
        <v>9</v>
      </c>
      <c r="G9" s="16"/>
      <c r="H9" s="19"/>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row>
    <row r="10" ht="67.5" customHeight="1">
      <c r="A10" s="3"/>
      <c r="B10" s="20"/>
      <c r="C10" s="21"/>
      <c r="D10" s="22" t="str">
        <f>H6</f>
        <v/>
      </c>
      <c r="F10" s="23"/>
      <c r="G10" s="24"/>
      <c r="H10" s="25"/>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row>
    <row r="11" ht="67.5" customHeight="1">
      <c r="A11" s="3"/>
      <c r="B11" s="26" t="s">
        <v>10</v>
      </c>
      <c r="C11" s="27"/>
      <c r="D11" s="28" t="s">
        <v>11</v>
      </c>
      <c r="E11" s="29"/>
      <c r="F11" s="30" t="s">
        <v>12</v>
      </c>
      <c r="G11" s="31" t="s">
        <v>13</v>
      </c>
      <c r="H11" s="32"/>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row>
    <row r="12" ht="67.5" customHeight="1">
      <c r="A12" s="3"/>
      <c r="B12" s="33"/>
      <c r="C12" s="34"/>
      <c r="D12" s="35"/>
      <c r="E12" s="34"/>
      <c r="F12" s="36"/>
      <c r="G12" s="36"/>
      <c r="H12" s="37"/>
      <c r="I12" s="1"/>
      <c r="J12" s="3"/>
      <c r="K12" s="3"/>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row>
    <row r="13" ht="33.0" customHeight="1">
      <c r="A13" s="3"/>
      <c r="B13" s="38"/>
      <c r="C13" s="39"/>
      <c r="D13" s="39"/>
      <c r="E13" s="39"/>
      <c r="F13" s="39"/>
      <c r="G13" s="39"/>
      <c r="H13" s="39"/>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row>
    <row r="14" ht="153.0" customHeight="1">
      <c r="A14" s="1"/>
      <c r="B14" s="40" t="s">
        <v>14</v>
      </c>
      <c r="C14" s="40" t="s">
        <v>15</v>
      </c>
      <c r="D14" s="40" t="s">
        <v>16</v>
      </c>
      <c r="E14" s="41" t="s">
        <v>17</v>
      </c>
      <c r="F14" s="40" t="s">
        <v>18</v>
      </c>
      <c r="G14" s="40" t="s">
        <v>19</v>
      </c>
      <c r="H14" s="40" t="s">
        <v>20</v>
      </c>
      <c r="I14" s="1"/>
      <c r="J14" s="42"/>
      <c r="K14" s="43"/>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row>
    <row r="15" ht="67.5" customHeight="1">
      <c r="A15" s="44"/>
      <c r="B15" s="45" t="s">
        <v>21</v>
      </c>
      <c r="C15" s="46"/>
      <c r="D15" s="47"/>
      <c r="E15" s="48"/>
      <c r="F15" s="49"/>
      <c r="G15" s="50"/>
      <c r="H15" s="50"/>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row>
    <row r="16" ht="52.5" customHeight="1">
      <c r="A16" s="1"/>
      <c r="B16" s="51"/>
      <c r="C16" s="51"/>
      <c r="D16" s="52"/>
      <c r="E16" s="53"/>
      <c r="F16" s="53"/>
      <c r="G16" s="54"/>
      <c r="H16" s="54">
        <f>(E16*C16)-F16-G16</f>
        <v>0</v>
      </c>
      <c r="I16" s="1"/>
      <c r="J16" s="1"/>
      <c r="K16" s="1"/>
      <c r="L16" s="1"/>
      <c r="M16" s="1"/>
      <c r="N16" s="55">
        <f>'05'!$E16*'05'!$C16</f>
        <v>0</v>
      </c>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row>
    <row r="17" ht="52.5" customHeight="1">
      <c r="A17" s="1"/>
      <c r="B17" s="56"/>
      <c r="C17" s="56"/>
      <c r="D17" s="57"/>
      <c r="E17" s="58" t="str">
        <f>IFERROR(VLOOKUP('05'!$D17,'DATA REAL'!B:F,2,FALSE),"")</f>
        <v/>
      </c>
      <c r="F17" s="58"/>
      <c r="G17" s="58"/>
      <c r="H17" s="58">
        <f>('05'!$E17*'05'!$C17)-'05'!$F17-'05'!$G17</f>
        <v>0</v>
      </c>
      <c r="I17" s="1"/>
      <c r="J17" s="1"/>
      <c r="K17" s="1"/>
      <c r="L17" s="1"/>
      <c r="M17" s="1"/>
      <c r="N17" s="55">
        <f>'05'!$E17*'05'!$C17</f>
        <v>0</v>
      </c>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row>
    <row r="18" ht="52.5" customHeight="1">
      <c r="A18" s="1"/>
      <c r="B18" s="51"/>
      <c r="C18" s="51"/>
      <c r="D18" s="52"/>
      <c r="E18" s="54" t="str">
        <f>IFERROR(VLOOKUP('05'!$D18,'DATA REAL'!B:F,2,FALSE),"")</f>
        <v/>
      </c>
      <c r="F18" s="59"/>
      <c r="G18" s="59"/>
      <c r="H18" s="54">
        <f>('05'!$E18*'05'!$C18)-'05'!$F18-'05'!$G18</f>
        <v>0</v>
      </c>
      <c r="I18" s="1"/>
      <c r="J18" s="1"/>
      <c r="K18" s="1"/>
      <c r="L18" s="1"/>
      <c r="M18" s="1"/>
      <c r="N18" s="55">
        <f>'05'!$E18*'05'!$C18</f>
        <v>0</v>
      </c>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row>
    <row r="19" ht="52.5" customHeight="1">
      <c r="A19" s="1"/>
      <c r="B19" s="56"/>
      <c r="C19" s="56"/>
      <c r="D19" s="57"/>
      <c r="E19" s="58" t="str">
        <f>IFERROR(VLOOKUP('05'!$D19,'DATA REAL'!B:F,2,FALSE),"")</f>
        <v/>
      </c>
      <c r="F19" s="60"/>
      <c r="G19" s="61"/>
      <c r="H19" s="58">
        <f>('05'!$E19*'05'!$C19)-'05'!$F19-'05'!$G19</f>
        <v>0</v>
      </c>
      <c r="I19" s="1"/>
      <c r="J19" s="1"/>
      <c r="K19" s="1"/>
      <c r="L19" s="1"/>
      <c r="M19" s="1"/>
      <c r="N19" s="55">
        <f>'05'!$E19*'05'!$C19</f>
        <v>0</v>
      </c>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row>
    <row r="20" ht="52.5" customHeight="1">
      <c r="A20" s="1"/>
      <c r="B20" s="51"/>
      <c r="C20" s="51"/>
      <c r="D20" s="52"/>
      <c r="E20" s="54" t="str">
        <f>IFERROR(VLOOKUP('05'!$D20,'DATA REAL'!B:F,2,FALSE),"")</f>
        <v/>
      </c>
      <c r="F20" s="62"/>
      <c r="G20" s="63"/>
      <c r="H20" s="54">
        <f>('05'!$E20*'05'!$C20)-'05'!$F20-'05'!$G20</f>
        <v>0</v>
      </c>
      <c r="I20" s="1"/>
      <c r="J20" s="1"/>
      <c r="K20" s="1"/>
      <c r="L20" s="1"/>
      <c r="M20" s="1"/>
      <c r="N20" s="55">
        <f>'05'!$E20*'05'!$C20</f>
        <v>0</v>
      </c>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row>
    <row r="21" ht="52.5" customHeight="1">
      <c r="A21" s="1"/>
      <c r="B21" s="64"/>
      <c r="C21" s="64"/>
      <c r="D21" s="65"/>
      <c r="E21" s="58" t="str">
        <f>IFERROR(VLOOKUP('05'!$D21,'DATA REAL'!B:F,2,FALSE),"")</f>
        <v/>
      </c>
      <c r="F21" s="66"/>
      <c r="G21" s="66"/>
      <c r="H21" s="58">
        <f>('05'!$E21*'05'!$C21)-'05'!$F21-'05'!$G21</f>
        <v>0</v>
      </c>
      <c r="I21" s="1"/>
      <c r="J21" s="1"/>
      <c r="K21" s="1"/>
      <c r="L21" s="1"/>
      <c r="M21" s="1"/>
      <c r="N21" s="55">
        <f>'05'!$E21*'05'!$C21</f>
        <v>0</v>
      </c>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row>
    <row r="22" ht="52.5" customHeight="1">
      <c r="A22" s="1"/>
      <c r="B22" s="67"/>
      <c r="C22" s="67"/>
      <c r="D22" s="68"/>
      <c r="E22" s="54" t="str">
        <f>IFERROR(VLOOKUP('05'!$D22,'DATA REAL'!B:F,2,FALSE),"")</f>
        <v/>
      </c>
      <c r="F22" s="59"/>
      <c r="G22" s="59"/>
      <c r="H22" s="54">
        <f>('05'!$E22*'05'!$C22)-'05'!$F22-'05'!$G22</f>
        <v>0</v>
      </c>
      <c r="I22" s="1"/>
      <c r="J22" s="1"/>
      <c r="K22" s="1"/>
      <c r="L22" s="1"/>
      <c r="M22" s="1"/>
      <c r="N22" s="55">
        <f>'05'!$E22*'05'!$C22</f>
        <v>0</v>
      </c>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row>
    <row r="23" ht="52.5" customHeight="1">
      <c r="A23" s="1"/>
      <c r="B23" s="64"/>
      <c r="C23" s="64"/>
      <c r="D23" s="65"/>
      <c r="E23" s="58" t="str">
        <f>IFERROR(VLOOKUP('05'!$D23,'DATA REAL'!B:F,2,FALSE),"")</f>
        <v/>
      </c>
      <c r="F23" s="58"/>
      <c r="G23" s="58"/>
      <c r="H23" s="58">
        <f>('05'!$E23*'05'!$C23)-'05'!$F23-'05'!$G23</f>
        <v>0</v>
      </c>
      <c r="I23" s="1"/>
      <c r="J23" s="1"/>
      <c r="K23" s="1"/>
      <c r="L23" s="1"/>
      <c r="M23" s="1"/>
      <c r="N23" s="55">
        <f>'05'!$E23*'05'!$C23</f>
        <v>0</v>
      </c>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row>
    <row r="24" ht="52.5" customHeight="1">
      <c r="A24" s="1"/>
      <c r="B24" s="67"/>
      <c r="C24" s="67"/>
      <c r="D24" s="68"/>
      <c r="E24" s="54" t="str">
        <f>IFERROR(VLOOKUP('05'!$D24,'DATA REAL'!B:F,2,FALSE),"")</f>
        <v/>
      </c>
      <c r="F24" s="54"/>
      <c r="G24" s="54"/>
      <c r="H24" s="54">
        <f>('05'!$E24*'05'!$C24)-'05'!$F24-'05'!$G24</f>
        <v>0</v>
      </c>
      <c r="I24" s="1"/>
      <c r="J24" s="1"/>
      <c r="K24" s="1"/>
      <c r="L24" s="1"/>
      <c r="M24" s="1"/>
      <c r="N24" s="55">
        <f>'05'!$E24*'05'!$C24</f>
        <v>0</v>
      </c>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row>
    <row r="25" ht="52.5" customHeight="1">
      <c r="A25" s="1"/>
      <c r="B25" s="64"/>
      <c r="C25" s="64"/>
      <c r="D25" s="65"/>
      <c r="E25" s="58" t="str">
        <f>IFERROR(VLOOKUP('05'!$D25,'DATA REAL'!B:F,2,FALSE),"")</f>
        <v/>
      </c>
      <c r="F25" s="58"/>
      <c r="G25" s="58"/>
      <c r="H25" s="58">
        <f>('05'!$E25*'05'!$C25)-'05'!$F25-'05'!$G25</f>
        <v>0</v>
      </c>
      <c r="I25" s="1"/>
      <c r="J25" s="1"/>
      <c r="K25" s="1"/>
      <c r="L25" s="1"/>
      <c r="M25" s="1"/>
      <c r="N25" s="55">
        <f>'05'!$E25*'05'!$C25</f>
        <v>0</v>
      </c>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row>
    <row r="26" ht="52.5" customHeight="1">
      <c r="A26" s="1"/>
      <c r="B26" s="67"/>
      <c r="C26" s="67"/>
      <c r="D26" s="68"/>
      <c r="E26" s="54" t="str">
        <f>IFERROR(VLOOKUP('05'!$D26,'DATA REAL'!B:F,2,FALSE),"")</f>
        <v/>
      </c>
      <c r="F26" s="54"/>
      <c r="G26" s="54"/>
      <c r="H26" s="54">
        <f>('05'!$E26*'05'!$C26)-'05'!$F26-'05'!$G26</f>
        <v>0</v>
      </c>
      <c r="I26" s="1"/>
      <c r="J26" s="69" t="s">
        <v>22</v>
      </c>
      <c r="K26" s="70" t="s">
        <v>23</v>
      </c>
      <c r="L26" s="71" t="s">
        <v>24</v>
      </c>
      <c r="M26" s="1"/>
      <c r="N26" s="55">
        <f>'05'!$E26*'05'!$C26</f>
        <v>0</v>
      </c>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row>
    <row r="27" ht="67.5" customHeight="1">
      <c r="A27" s="44"/>
      <c r="B27" s="72" t="s">
        <v>25</v>
      </c>
      <c r="H27" s="73"/>
      <c r="I27" s="44"/>
      <c r="J27" s="74"/>
      <c r="K27" s="74"/>
      <c r="L27" s="74"/>
      <c r="M27" s="44"/>
      <c r="N27" s="75">
        <f>'05'!$E27*'05'!$C27</f>
        <v>0</v>
      </c>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row>
    <row r="28" ht="52.5" customHeight="1">
      <c r="A28" s="1"/>
      <c r="B28" s="76"/>
      <c r="C28" s="76"/>
      <c r="D28" s="77"/>
      <c r="E28" s="78" t="str">
        <f>IFERROR(VLOOKUP('05'!$D28,'DATA REAL'!B:F,2,FALSE),"")</f>
        <v/>
      </c>
      <c r="F28" s="79"/>
      <c r="G28" s="79">
        <f>IFERROR(VLOOKUP('05'!$D28,'DATA REAL'!A:F,6,FALSE),"")*'05'!$C28</f>
        <v>0</v>
      </c>
      <c r="H28" s="80">
        <f>('05'!$E28*'05'!$C28)-'05'!$F28-'05'!$G28</f>
        <v>0</v>
      </c>
      <c r="I28" s="1"/>
      <c r="J28" s="81" t="str">
        <f>IFERROR(VLOOKUP('05'!$D28,DATA!C:D,2,FALSE),"")</f>
        <v/>
      </c>
      <c r="K28" s="81" t="str">
        <f>IFERROR(VLOOKUP('05'!$D28,DATA!C:F,4,FALSE),"")</f>
        <v/>
      </c>
      <c r="L28" s="1">
        <f t="shared" ref="L28:L29" si="1">J28-K28</f>
        <v>0</v>
      </c>
      <c r="M28" s="1"/>
      <c r="N28" s="55">
        <f>'05'!$E28*'05'!$C28</f>
        <v>0</v>
      </c>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row>
    <row r="29" ht="52.5" customHeight="1">
      <c r="A29" s="1"/>
      <c r="B29" s="82"/>
      <c r="C29" s="82"/>
      <c r="D29" s="83"/>
      <c r="E29" s="84" t="str">
        <f>IFERROR(VLOOKUP('05'!$D29,'DATA REAL'!B:F,2,FALSE),"")</f>
        <v/>
      </c>
      <c r="F29" s="84"/>
      <c r="G29" s="84">
        <f>IFERROR(VLOOKUP('05'!$D29,DATA!C:G,5,FALSE),"")*'05'!$C29</f>
        <v>0</v>
      </c>
      <c r="H29" s="85">
        <f>('05'!$E29*'05'!$C29)-'05'!$F29-'05'!$G29</f>
        <v>0</v>
      </c>
      <c r="I29" s="1"/>
      <c r="J29" s="81" t="str">
        <f>IFERROR(VLOOKUP('05'!$D29,DATA!C:D,2,FALSE),"")</f>
        <v/>
      </c>
      <c r="K29" s="81" t="str">
        <f>IFERROR(VLOOKUP('05'!$D29,DATA!C:F,4,FALSE),"")</f>
        <v/>
      </c>
      <c r="L29" s="1">
        <f t="shared" si="1"/>
        <v>0</v>
      </c>
      <c r="M29" s="1"/>
      <c r="N29" s="55">
        <f>'05'!$E29*'05'!$C29</f>
        <v>0</v>
      </c>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row>
    <row r="30" ht="52.5" customHeight="1">
      <c r="A30" s="1"/>
      <c r="B30" s="76"/>
      <c r="C30" s="76"/>
      <c r="D30" s="77"/>
      <c r="E30" s="79" t="str">
        <f>IFERROR(VLOOKUP('05'!$D30,'DATA REAL'!B:F,2,FALSE),"")</f>
        <v/>
      </c>
      <c r="F30" s="79"/>
      <c r="G30" s="79">
        <f>IFERROR(VLOOKUP('05'!$D30,DATA!C:G,5,FALSE),"")*'05'!$C30</f>
        <v>0</v>
      </c>
      <c r="H30" s="80">
        <f>('05'!$E30*'05'!$C30)-'05'!$F30-'05'!$G30</f>
        <v>0</v>
      </c>
      <c r="I30" s="1"/>
      <c r="J30" s="81"/>
      <c r="K30" s="81"/>
      <c r="L30" s="1"/>
      <c r="M30" s="1"/>
      <c r="N30" s="55">
        <f>'05'!$E30*'05'!$C30</f>
        <v>0</v>
      </c>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row>
    <row r="31" ht="52.5" customHeight="1">
      <c r="A31" s="1"/>
      <c r="B31" s="82"/>
      <c r="C31" s="82"/>
      <c r="D31" s="83"/>
      <c r="E31" s="84" t="str">
        <f>IFERROR(VLOOKUP('05'!$D31,'DATA REAL'!B:F,2,FALSE),"")</f>
        <v/>
      </c>
      <c r="F31" s="84"/>
      <c r="G31" s="84">
        <f>IFERROR(VLOOKUP('05'!$D31,DATA!C:G,5,FALSE),"")*'05'!$C31</f>
        <v>0</v>
      </c>
      <c r="H31" s="85">
        <f>('05'!$E31*'05'!$C31)-'05'!$F31-'05'!$G31</f>
        <v>0</v>
      </c>
      <c r="I31" s="1"/>
      <c r="J31" s="81"/>
      <c r="K31" s="81"/>
      <c r="L31" s="1"/>
      <c r="M31" s="1"/>
      <c r="N31" s="55">
        <f>'05'!$E31*'05'!$C31</f>
        <v>0</v>
      </c>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row>
    <row r="32" ht="52.5" customHeight="1">
      <c r="A32" s="1"/>
      <c r="B32" s="86"/>
      <c r="C32" s="86"/>
      <c r="D32" s="87"/>
      <c r="E32" s="79" t="str">
        <f>IFERROR(VLOOKUP('05'!$D32,'DATA REAL'!B:F,2,FALSE),"")</f>
        <v/>
      </c>
      <c r="F32" s="79"/>
      <c r="G32" s="79">
        <f>IFERROR(VLOOKUP('05'!$D32,DATA!C:G,5,FALSE),"")*'05'!$C32</f>
        <v>0</v>
      </c>
      <c r="H32" s="80">
        <f>('05'!$E32*'05'!$C32)-'05'!$F32-'05'!$G32</f>
        <v>0</v>
      </c>
      <c r="I32" s="1"/>
      <c r="J32" s="81"/>
      <c r="K32" s="81"/>
      <c r="L32" s="1"/>
      <c r="M32" s="1"/>
      <c r="N32" s="55">
        <f>'05'!$E32*'05'!$C32</f>
        <v>0</v>
      </c>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row>
    <row r="33" ht="52.5" customHeight="1">
      <c r="A33" s="1"/>
      <c r="B33" s="88"/>
      <c r="C33" s="88"/>
      <c r="D33" s="89"/>
      <c r="E33" s="84" t="str">
        <f>IFERROR(VLOOKUP('05'!$D33,'DATA REAL'!B:F,2,FALSE),"")</f>
        <v/>
      </c>
      <c r="F33" s="84"/>
      <c r="G33" s="84">
        <f>IFERROR(VLOOKUP('05'!$D33,DATA!C:G,5,FALSE),"")*'05'!$C33</f>
        <v>0</v>
      </c>
      <c r="H33" s="85">
        <f>('05'!$E33*'05'!$C33)-'05'!$F33-'05'!$G33</f>
        <v>0</v>
      </c>
      <c r="I33" s="1"/>
      <c r="J33" s="81"/>
      <c r="K33" s="81"/>
      <c r="L33" s="1"/>
      <c r="M33" s="1"/>
      <c r="N33" s="55">
        <f>'05'!$E33*'05'!$C33</f>
        <v>0</v>
      </c>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row>
    <row r="34" ht="52.5" customHeight="1">
      <c r="A34" s="1"/>
      <c r="B34" s="86"/>
      <c r="C34" s="86"/>
      <c r="D34" s="87"/>
      <c r="E34" s="79" t="str">
        <f>IFERROR(VLOOKUP('05'!$D34,'DATA REAL'!B:F,2,FALSE),"")</f>
        <v/>
      </c>
      <c r="F34" s="79"/>
      <c r="G34" s="79">
        <f>IFERROR(VLOOKUP('05'!$D34,DATA!C:G,5,FALSE),"")*'05'!$C34</f>
        <v>0</v>
      </c>
      <c r="H34" s="80">
        <f>('05'!$E34*'05'!$C34)-'05'!$F34-'05'!$G34</f>
        <v>0</v>
      </c>
      <c r="I34" s="1"/>
      <c r="J34" s="81" t="str">
        <f>IFERROR(VLOOKUP('05'!$D34,DATA!C:D,2,FALSE),"")</f>
        <v/>
      </c>
      <c r="K34" s="81" t="str">
        <f>IFERROR(VLOOKUP('05'!$D34,DATA!C:F,4,FALSE),"")</f>
        <v/>
      </c>
      <c r="L34" s="1">
        <f t="shared" ref="L34:L38" si="2">J34-K34</f>
        <v>0</v>
      </c>
      <c r="M34" s="1"/>
      <c r="N34" s="55">
        <f>'05'!$E34*'05'!$C34</f>
        <v>0</v>
      </c>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row>
    <row r="35" ht="52.5" customHeight="1">
      <c r="A35" s="1"/>
      <c r="B35" s="88"/>
      <c r="C35" s="88"/>
      <c r="D35" s="89"/>
      <c r="E35" s="84" t="str">
        <f>IFERROR(VLOOKUP('05'!$D35,'DATA REAL'!B:F,2,FALSE),"")</f>
        <v/>
      </c>
      <c r="F35" s="84"/>
      <c r="G35" s="84">
        <f>IFERROR(VLOOKUP('05'!$D35,DATA!C:G,5,FALSE),"")*'05'!$C35</f>
        <v>0</v>
      </c>
      <c r="H35" s="85">
        <f>('05'!$E35*'05'!$C35)-'05'!$F35-'05'!$G35</f>
        <v>0</v>
      </c>
      <c r="I35" s="1"/>
      <c r="J35" s="81" t="str">
        <f>IFERROR(VLOOKUP('05'!$D35,DATA!C:D,2,FALSE),"")</f>
        <v/>
      </c>
      <c r="K35" s="81" t="str">
        <f>IFERROR(VLOOKUP('05'!$D35,DATA!C:F,4,FALSE),"")</f>
        <v/>
      </c>
      <c r="L35" s="1">
        <f t="shared" si="2"/>
        <v>0</v>
      </c>
      <c r="M35" s="1"/>
      <c r="N35" s="55">
        <f>'05'!$E35*'05'!$C35</f>
        <v>0</v>
      </c>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row>
    <row r="36" ht="52.5" customHeight="1">
      <c r="A36" s="1"/>
      <c r="B36" s="86"/>
      <c r="C36" s="86"/>
      <c r="D36" s="87"/>
      <c r="E36" s="79" t="str">
        <f>IFERROR(VLOOKUP('05'!$D36,'DATA REAL'!B:F,2,FALSE),"")</f>
        <v/>
      </c>
      <c r="F36" s="79"/>
      <c r="G36" s="79">
        <f>IFERROR(VLOOKUP('05'!$D36,DATA!C:G,5,FALSE),"")*'05'!$C36</f>
        <v>0</v>
      </c>
      <c r="H36" s="80">
        <f>('05'!$E36*'05'!$C36)-'05'!$F36-'05'!$G36</f>
        <v>0</v>
      </c>
      <c r="I36" s="1"/>
      <c r="J36" s="81" t="str">
        <f>IFERROR(VLOOKUP('05'!$D36,DATA!C:D,2,FALSE),"")</f>
        <v/>
      </c>
      <c r="K36" s="81" t="str">
        <f>IFERROR(VLOOKUP('05'!$D36,DATA!C:F,4,FALSE),"")</f>
        <v/>
      </c>
      <c r="L36" s="1">
        <f t="shared" si="2"/>
        <v>0</v>
      </c>
      <c r="M36" s="1"/>
      <c r="N36" s="55">
        <f>'05'!$E36*'05'!$C36</f>
        <v>0</v>
      </c>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row>
    <row r="37" ht="52.5" customHeight="1">
      <c r="A37" s="1"/>
      <c r="B37" s="88"/>
      <c r="C37" s="88"/>
      <c r="D37" s="89"/>
      <c r="E37" s="84" t="str">
        <f>IFERROR(VLOOKUP('05'!$D37,'DATA REAL'!B:F,2,FALSE),"")</f>
        <v/>
      </c>
      <c r="F37" s="84"/>
      <c r="G37" s="84">
        <f>IFERROR(VLOOKUP('05'!$D37,DATA!C:G,5,FALSE),"")*'05'!$C37</f>
        <v>0</v>
      </c>
      <c r="H37" s="85">
        <f>('05'!$E37*'05'!$C37)-'05'!$F37-'05'!$G37</f>
        <v>0</v>
      </c>
      <c r="I37" s="1"/>
      <c r="J37" s="81" t="str">
        <f>IFERROR(VLOOKUP('05'!$D37,DATA!C:D,2,FALSE),"")</f>
        <v/>
      </c>
      <c r="K37" s="81" t="str">
        <f>IFERROR(VLOOKUP('05'!$D37,DATA!C:F,4,FALSE),"")</f>
        <v/>
      </c>
      <c r="L37" s="1">
        <f t="shared" si="2"/>
        <v>0</v>
      </c>
      <c r="M37" s="1"/>
      <c r="N37" s="55">
        <f>'05'!$E37*'05'!$C37</f>
        <v>0</v>
      </c>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row>
    <row r="38" ht="52.5" customHeight="1">
      <c r="A38" s="1"/>
      <c r="B38" s="86"/>
      <c r="C38" s="86"/>
      <c r="D38" s="87"/>
      <c r="E38" s="79" t="str">
        <f>IFERROR(VLOOKUP('05'!$D38,'DATA REAL'!B:F,2,FALSE),"")</f>
        <v/>
      </c>
      <c r="F38" s="79"/>
      <c r="G38" s="79">
        <f>IFERROR(VLOOKUP('05'!$D38,DATA!C:G,5,FALSE),"")*'05'!$C38</f>
        <v>0</v>
      </c>
      <c r="H38" s="80">
        <f>('05'!$E38*'05'!$C38)-'05'!$F38-'05'!$G38</f>
        <v>0</v>
      </c>
      <c r="I38" s="1"/>
      <c r="J38" s="81" t="str">
        <f>IFERROR(VLOOKUP('05'!$D38,DATA!C:D,2,FALSE),"")</f>
        <v/>
      </c>
      <c r="K38" s="81" t="str">
        <f>IFERROR(VLOOKUP('05'!$D38,DATA!C:F,4,FALSE),"")</f>
        <v/>
      </c>
      <c r="L38" s="1">
        <f t="shared" si="2"/>
        <v>0</v>
      </c>
      <c r="M38" s="1"/>
      <c r="N38" s="55">
        <f>'05'!$E38*'05'!$C38</f>
        <v>0</v>
      </c>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row>
    <row r="39" ht="52.5" customHeight="1">
      <c r="A39" s="1"/>
      <c r="B39" s="88"/>
      <c r="C39" s="88"/>
      <c r="D39" s="89"/>
      <c r="E39" s="84" t="str">
        <f>IFERROR(VLOOKUP('05'!$D39,'DATA REAL'!B:F,2,FALSE),"")</f>
        <v/>
      </c>
      <c r="F39" s="84"/>
      <c r="G39" s="84">
        <f>IFERROR(VLOOKUP('05'!$D39,DATA!C:G,5,FALSE),"")*'05'!$C39</f>
        <v>0</v>
      </c>
      <c r="H39" s="85">
        <f>('05'!$E39*'05'!$C39)-'05'!$F39-'05'!$G39</f>
        <v>0</v>
      </c>
      <c r="I39" s="1"/>
      <c r="J39" s="81"/>
      <c r="K39" s="81"/>
      <c r="L39" s="1"/>
      <c r="M39" s="1"/>
      <c r="N39" s="55">
        <f>'05'!$E39*'05'!$C39</f>
        <v>0</v>
      </c>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row>
    <row r="40" ht="52.5" customHeight="1">
      <c r="A40" s="1"/>
      <c r="B40" s="86"/>
      <c r="C40" s="86"/>
      <c r="D40" s="87"/>
      <c r="E40" s="79" t="str">
        <f>IFERROR(VLOOKUP('05'!$D40,'DATA REAL'!B:F,2,FALSE),"")</f>
        <v/>
      </c>
      <c r="F40" s="79"/>
      <c r="G40" s="79">
        <f>IFERROR(VLOOKUP('05'!$D40,DATA!C:G,5,FALSE),"")*'05'!$C40</f>
        <v>0</v>
      </c>
      <c r="H40" s="80">
        <f>('05'!$E40*'05'!$C40)-'05'!$F40-'05'!$G40</f>
        <v>0</v>
      </c>
      <c r="I40" s="1"/>
      <c r="J40" s="81"/>
      <c r="K40" s="81"/>
      <c r="L40" s="1"/>
      <c r="M40" s="1"/>
      <c r="N40" s="55">
        <f>'05'!$E40*'05'!$C40</f>
        <v>0</v>
      </c>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row>
    <row r="41" ht="52.5" customHeight="1">
      <c r="A41" s="1"/>
      <c r="B41" s="88"/>
      <c r="C41" s="88"/>
      <c r="D41" s="89"/>
      <c r="E41" s="84" t="str">
        <f>IFERROR(VLOOKUP('05'!$D41,'DATA REAL'!B:F,2,FALSE),"")</f>
        <v/>
      </c>
      <c r="F41" s="84"/>
      <c r="G41" s="84">
        <f>IFERROR(VLOOKUP('05'!$D41,DATA!C:G,5,FALSE),"")*'05'!$C41</f>
        <v>0</v>
      </c>
      <c r="H41" s="85">
        <f>('05'!$E41*'05'!$C41)-'05'!$F41-'05'!$G41</f>
        <v>0</v>
      </c>
      <c r="I41" s="1"/>
      <c r="J41" s="81"/>
      <c r="K41" s="81"/>
      <c r="L41" s="1"/>
      <c r="M41" s="1"/>
      <c r="N41" s="55">
        <f>'05'!$E41*'05'!$C41</f>
        <v>0</v>
      </c>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row>
    <row r="42" ht="52.5" customHeight="1">
      <c r="A42" s="1"/>
      <c r="B42" s="86"/>
      <c r="C42" s="86"/>
      <c r="D42" s="87"/>
      <c r="E42" s="79" t="str">
        <f>IFERROR(VLOOKUP('05'!$D42,'DATA REAL'!B:F,2,FALSE),"")</f>
        <v/>
      </c>
      <c r="F42" s="79"/>
      <c r="G42" s="79">
        <f>IFERROR(VLOOKUP('05'!$D42,DATA!C:G,5,FALSE),"")*'05'!$C42</f>
        <v>0</v>
      </c>
      <c r="H42" s="80">
        <f>('05'!$E42*'05'!$C42)-'05'!$F42-'05'!$G42</f>
        <v>0</v>
      </c>
      <c r="I42" s="1"/>
      <c r="J42" s="81"/>
      <c r="K42" s="81"/>
      <c r="L42" s="1"/>
      <c r="M42" s="1"/>
      <c r="N42" s="55">
        <f>'05'!$E42*'05'!$C42</f>
        <v>0</v>
      </c>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row>
    <row r="43" ht="52.5" customHeight="1">
      <c r="A43" s="1"/>
      <c r="B43" s="88"/>
      <c r="C43" s="88"/>
      <c r="D43" s="89"/>
      <c r="E43" s="84" t="str">
        <f>IFERROR(VLOOKUP('05'!$D43,'DATA REAL'!B:F,2,FALSE),"")</f>
        <v/>
      </c>
      <c r="F43" s="84"/>
      <c r="G43" s="84">
        <f>IFERROR(VLOOKUP('05'!$D43,DATA!C:G,5,FALSE),"")*'05'!$C43</f>
        <v>0</v>
      </c>
      <c r="H43" s="85">
        <f>('05'!$E43*'05'!$C43)-'05'!$F43-'05'!$G43</f>
        <v>0</v>
      </c>
      <c r="I43" s="1"/>
      <c r="J43" s="81"/>
      <c r="K43" s="81"/>
      <c r="L43" s="1"/>
      <c r="M43" s="1"/>
      <c r="N43" s="55">
        <f>'05'!$E43*'05'!$C43</f>
        <v>0</v>
      </c>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row>
    <row r="44" ht="52.5" customHeight="1">
      <c r="A44" s="1"/>
      <c r="B44" s="86"/>
      <c r="C44" s="86"/>
      <c r="D44" s="87"/>
      <c r="E44" s="79" t="str">
        <f>IFERROR(VLOOKUP('05'!$D44,'DATA REAL'!B:F,2,FALSE),"")</f>
        <v/>
      </c>
      <c r="F44" s="79"/>
      <c r="G44" s="79">
        <f>IFERROR(VLOOKUP('05'!$D44,DATA!C:G,5,FALSE),"")*'05'!$C44</f>
        <v>0</v>
      </c>
      <c r="H44" s="80">
        <f>('05'!$E44*'05'!$C44)-'05'!$F44-'05'!$G44</f>
        <v>0</v>
      </c>
      <c r="I44" s="1"/>
      <c r="J44" s="81" t="str">
        <f>IFERROR(VLOOKUP('05'!$D44,DATA!C:D,2,FALSE),"")</f>
        <v/>
      </c>
      <c r="K44" s="81" t="str">
        <f>IFERROR(VLOOKUP('05'!$D44,DATA!C:F,4,FALSE),"")</f>
        <v/>
      </c>
      <c r="L44" s="1">
        <f t="shared" ref="L44:L55" si="3">J44-K44</f>
        <v>0</v>
      </c>
      <c r="M44" s="1"/>
      <c r="N44" s="55">
        <f>'05'!$E44*'05'!$C44</f>
        <v>0</v>
      </c>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row>
    <row r="45" ht="52.5" customHeight="1">
      <c r="A45" s="1"/>
      <c r="B45" s="88"/>
      <c r="C45" s="88"/>
      <c r="D45" s="89"/>
      <c r="E45" s="84" t="str">
        <f>IFERROR(VLOOKUP('05'!$D45,'DATA REAL'!B:F,2,FALSE),"")</f>
        <v/>
      </c>
      <c r="F45" s="84"/>
      <c r="G45" s="84">
        <f>IFERROR(VLOOKUP('05'!$D45,DATA!C:G,5,FALSE),"")*'05'!$C45</f>
        <v>0</v>
      </c>
      <c r="H45" s="85">
        <f>('05'!$E45*'05'!$C45)-'05'!$F45-'05'!$G45</f>
        <v>0</v>
      </c>
      <c r="I45" s="1"/>
      <c r="J45" s="81" t="str">
        <f>IFERROR(VLOOKUP('05'!$D45,DATA!C:D,2,FALSE),"")</f>
        <v/>
      </c>
      <c r="K45" s="81" t="str">
        <f>IFERROR(VLOOKUP('05'!$D45,DATA!C:F,4,FALSE),"")</f>
        <v/>
      </c>
      <c r="L45" s="1">
        <f t="shared" si="3"/>
        <v>0</v>
      </c>
      <c r="M45" s="1"/>
      <c r="N45" s="55">
        <f>'05'!$E45*'05'!$C45</f>
        <v>0</v>
      </c>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row>
    <row r="46" ht="52.5" customHeight="1">
      <c r="A46" s="1"/>
      <c r="B46" s="86"/>
      <c r="C46" s="86"/>
      <c r="D46" s="87"/>
      <c r="E46" s="79" t="str">
        <f>IFERROR(VLOOKUP('05'!$D46,'DATA REAL'!B:F,2,FALSE),"")</f>
        <v/>
      </c>
      <c r="F46" s="79"/>
      <c r="G46" s="79">
        <f>IFERROR(VLOOKUP('05'!$D46,DATA!C:G,5,FALSE),"")*'05'!$C46</f>
        <v>0</v>
      </c>
      <c r="H46" s="80">
        <f>('05'!$E46*'05'!$C46)-'05'!$F46-'05'!$G46</f>
        <v>0</v>
      </c>
      <c r="I46" s="1"/>
      <c r="J46" s="81" t="str">
        <f>IFERROR(VLOOKUP('05'!$D46,DATA!C:D,2,FALSE),"")</f>
        <v/>
      </c>
      <c r="K46" s="81" t="str">
        <f>IFERROR(VLOOKUP('05'!$D46,DATA!C:F,4,FALSE),"")</f>
        <v/>
      </c>
      <c r="L46" s="1">
        <f t="shared" si="3"/>
        <v>0</v>
      </c>
      <c r="M46" s="1"/>
      <c r="N46" s="55">
        <f>'05'!$E46*'05'!$C46</f>
        <v>0</v>
      </c>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row>
    <row r="47" ht="52.5" customHeight="1">
      <c r="A47" s="1"/>
      <c r="B47" s="88"/>
      <c r="C47" s="88"/>
      <c r="D47" s="89"/>
      <c r="E47" s="84" t="str">
        <f>IFERROR(VLOOKUP('05'!$D47,'DATA REAL'!B:F,2,FALSE),"")</f>
        <v/>
      </c>
      <c r="F47" s="84"/>
      <c r="G47" s="84">
        <f>IFERROR(VLOOKUP('05'!$D47,DATA!C:G,5,FALSE),"")*'05'!$C47</f>
        <v>0</v>
      </c>
      <c r="H47" s="85">
        <f>('05'!$E47*'05'!$C47)-'05'!$F47-'05'!$G47</f>
        <v>0</v>
      </c>
      <c r="I47" s="1"/>
      <c r="J47" s="81" t="str">
        <f>IFERROR(VLOOKUP('05'!$D47,DATA!C:D,2,FALSE),"")</f>
        <v/>
      </c>
      <c r="K47" s="81" t="str">
        <f>IFERROR(VLOOKUP('05'!$D47,DATA!C:F,4,FALSE),"")</f>
        <v/>
      </c>
      <c r="L47" s="1">
        <f t="shared" si="3"/>
        <v>0</v>
      </c>
      <c r="M47" s="1"/>
      <c r="N47" s="55">
        <f>'05'!$E47*'05'!$C47</f>
        <v>0</v>
      </c>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row>
    <row r="48" ht="52.5" customHeight="1">
      <c r="A48" s="1"/>
      <c r="B48" s="86"/>
      <c r="C48" s="86"/>
      <c r="D48" s="87"/>
      <c r="E48" s="79" t="str">
        <f>IFERROR(VLOOKUP('05'!$D48,'DATA REAL'!B:F,2,FALSE),"")</f>
        <v/>
      </c>
      <c r="F48" s="79"/>
      <c r="G48" s="79">
        <f>IFERROR(VLOOKUP('05'!$D48,DATA!C:G,5,FALSE),"")*'05'!$C48</f>
        <v>0</v>
      </c>
      <c r="H48" s="80">
        <f>('05'!$E48*'05'!$C48)-'05'!$F48-'05'!$G48</f>
        <v>0</v>
      </c>
      <c r="I48" s="1"/>
      <c r="J48" s="81" t="str">
        <f>IFERROR(VLOOKUP('05'!$D48,DATA!C:D,2,FALSE),"")</f>
        <v/>
      </c>
      <c r="K48" s="81" t="str">
        <f>IFERROR(VLOOKUP('05'!$D48,DATA!C:F,4,FALSE),"")</f>
        <v/>
      </c>
      <c r="L48" s="1">
        <f t="shared" si="3"/>
        <v>0</v>
      </c>
      <c r="M48" s="1"/>
      <c r="N48" s="55">
        <f>'05'!$E48*'05'!$C48</f>
        <v>0</v>
      </c>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row>
    <row r="49" ht="52.5" customHeight="1">
      <c r="A49" s="1"/>
      <c r="B49" s="88"/>
      <c r="C49" s="88"/>
      <c r="D49" s="89"/>
      <c r="E49" s="84" t="str">
        <f>IFERROR(VLOOKUP('05'!$D49,'DATA REAL'!B:F,2,FALSE),"")</f>
        <v/>
      </c>
      <c r="F49" s="84"/>
      <c r="G49" s="84">
        <f>IFERROR(VLOOKUP('05'!$D49,DATA!C:G,5,FALSE),"")*'05'!$C49</f>
        <v>0</v>
      </c>
      <c r="H49" s="85">
        <f>('05'!$E49*'05'!$C49)-'05'!$F49-'05'!$G49</f>
        <v>0</v>
      </c>
      <c r="I49" s="1"/>
      <c r="J49" s="81" t="str">
        <f>IFERROR(VLOOKUP('05'!$D49,DATA!C:D,2,FALSE),"")</f>
        <v/>
      </c>
      <c r="K49" s="81" t="str">
        <f>IFERROR(VLOOKUP('05'!$D49,DATA!C:F,4,FALSE),"")</f>
        <v/>
      </c>
      <c r="L49" s="1">
        <f t="shared" si="3"/>
        <v>0</v>
      </c>
      <c r="M49" s="1"/>
      <c r="N49" s="55">
        <f>'05'!$E49*'05'!$C49</f>
        <v>0</v>
      </c>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row>
    <row r="50" ht="52.5" customHeight="1">
      <c r="A50" s="1"/>
      <c r="B50" s="86"/>
      <c r="C50" s="86"/>
      <c r="D50" s="87"/>
      <c r="E50" s="79" t="str">
        <f>IFERROR(VLOOKUP('05'!$D50,'DATA REAL'!B:F,2,FALSE),"")</f>
        <v/>
      </c>
      <c r="F50" s="79"/>
      <c r="G50" s="79">
        <f>IFERROR(VLOOKUP('05'!$D50,DATA!C:G,5,FALSE),"")*'05'!$C50</f>
        <v>0</v>
      </c>
      <c r="H50" s="80">
        <f>('05'!$E50*'05'!$C50)-'05'!$F50-'05'!$G50</f>
        <v>0</v>
      </c>
      <c r="I50" s="1"/>
      <c r="J50" s="81" t="str">
        <f>IFERROR(VLOOKUP('05'!$D50,DATA!C:D,2,FALSE),"")</f>
        <v/>
      </c>
      <c r="K50" s="81" t="str">
        <f>IFERROR(VLOOKUP('05'!$D50,DATA!C:F,4,FALSE),"")</f>
        <v/>
      </c>
      <c r="L50" s="1">
        <f t="shared" si="3"/>
        <v>0</v>
      </c>
      <c r="M50" s="1"/>
      <c r="N50" s="55">
        <f>'05'!$E50*'05'!$C50</f>
        <v>0</v>
      </c>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row>
    <row r="51" ht="52.5" customHeight="1">
      <c r="A51" s="1"/>
      <c r="B51" s="88"/>
      <c r="C51" s="88"/>
      <c r="D51" s="89"/>
      <c r="E51" s="84" t="str">
        <f>IFERROR(VLOOKUP('05'!$D51,'DATA REAL'!B:F,2,FALSE),"")</f>
        <v/>
      </c>
      <c r="F51" s="84"/>
      <c r="G51" s="84">
        <f>IFERROR(VLOOKUP('05'!$D51,DATA!C:G,5,FALSE),"")*'05'!$C51</f>
        <v>0</v>
      </c>
      <c r="H51" s="85">
        <f>('05'!$E51*'05'!$C51)-'05'!$F51-'05'!$G51</f>
        <v>0</v>
      </c>
      <c r="I51" s="1"/>
      <c r="J51" s="81" t="str">
        <f>IFERROR(VLOOKUP('05'!$D51,DATA!C:D,2,FALSE),"")</f>
        <v/>
      </c>
      <c r="K51" s="81" t="str">
        <f>IFERROR(VLOOKUP('05'!$D51,DATA!C:F,4,FALSE),"")</f>
        <v/>
      </c>
      <c r="L51" s="1">
        <f t="shared" si="3"/>
        <v>0</v>
      </c>
      <c r="M51" s="1"/>
      <c r="N51" s="55">
        <f>'05'!$E51*'05'!$C51</f>
        <v>0</v>
      </c>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row>
    <row r="52" ht="52.5" customHeight="1">
      <c r="A52" s="1"/>
      <c r="B52" s="86"/>
      <c r="C52" s="86"/>
      <c r="D52" s="87"/>
      <c r="E52" s="79" t="str">
        <f>IFERROR(VLOOKUP('05'!$D52,'DATA REAL'!B:F,2,FALSE),"")</f>
        <v/>
      </c>
      <c r="F52" s="79"/>
      <c r="G52" s="79">
        <f>IFERROR(VLOOKUP('05'!$D52,DATA!C:G,5,FALSE),"")*'05'!$C52</f>
        <v>0</v>
      </c>
      <c r="H52" s="80">
        <f>('05'!$E52*'05'!$C52)-'05'!$F52-'05'!$G52</f>
        <v>0</v>
      </c>
      <c r="I52" s="1"/>
      <c r="J52" s="81" t="str">
        <f>IFERROR(VLOOKUP('05'!$D52,DATA!C:D,2,FALSE),"")</f>
        <v/>
      </c>
      <c r="K52" s="81" t="str">
        <f>IFERROR(VLOOKUP('05'!$D52,DATA!C:F,4,FALSE),"")</f>
        <v/>
      </c>
      <c r="L52" s="1">
        <f t="shared" si="3"/>
        <v>0</v>
      </c>
      <c r="M52" s="1"/>
      <c r="N52" s="55">
        <f>'05'!$E52*'05'!$C52</f>
        <v>0</v>
      </c>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row>
    <row r="53" ht="52.5" customHeight="1">
      <c r="A53" s="1"/>
      <c r="B53" s="88"/>
      <c r="C53" s="88"/>
      <c r="D53" s="89"/>
      <c r="E53" s="84" t="str">
        <f>IFERROR(VLOOKUP('05'!$D53,'DATA REAL'!B:F,2,FALSE),"")</f>
        <v/>
      </c>
      <c r="F53" s="84"/>
      <c r="G53" s="84">
        <f>IFERROR(VLOOKUP('05'!$D53,DATA!C:G,5,FALSE),"")*'05'!$C53</f>
        <v>0</v>
      </c>
      <c r="H53" s="85">
        <f>('05'!$E53*'05'!$C53)-'05'!$F53-'05'!$G53</f>
        <v>0</v>
      </c>
      <c r="I53" s="1"/>
      <c r="J53" s="81" t="str">
        <f>IFERROR(VLOOKUP('05'!$D53,DATA!C:D,2,FALSE),"")</f>
        <v/>
      </c>
      <c r="K53" s="81" t="str">
        <f>IFERROR(VLOOKUP('05'!$D53,DATA!C:F,4,FALSE),"")</f>
        <v/>
      </c>
      <c r="L53" s="1">
        <f t="shared" si="3"/>
        <v>0</v>
      </c>
      <c r="M53" s="1"/>
      <c r="N53" s="55">
        <f>'05'!$E53*'05'!$C53</f>
        <v>0</v>
      </c>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row>
    <row r="54" ht="52.5" customHeight="1">
      <c r="A54" s="1"/>
      <c r="B54" s="86"/>
      <c r="C54" s="86"/>
      <c r="D54" s="87"/>
      <c r="E54" s="79" t="str">
        <f>IFERROR(VLOOKUP('05'!$D54,'DATA REAL'!B:F,2,FALSE),"")</f>
        <v/>
      </c>
      <c r="F54" s="79"/>
      <c r="G54" s="79">
        <f>IFERROR(VLOOKUP('05'!$D54,DATA!C:G,5,FALSE),"")*'05'!$C54</f>
        <v>0</v>
      </c>
      <c r="H54" s="80">
        <f>('05'!$E54*'05'!$C54)-'05'!$F54-'05'!$G54</f>
        <v>0</v>
      </c>
      <c r="I54" s="1"/>
      <c r="J54" s="81" t="str">
        <f>IFERROR(VLOOKUP('05'!$D54,DATA!C:D,2,FALSE),"")</f>
        <v/>
      </c>
      <c r="K54" s="81" t="str">
        <f>IFERROR(VLOOKUP('05'!$D54,DATA!C:F,4,FALSE),"")</f>
        <v/>
      </c>
      <c r="L54" s="1">
        <f t="shared" si="3"/>
        <v>0</v>
      </c>
      <c r="M54" s="1"/>
      <c r="N54" s="55">
        <f>'05'!$E54*'05'!$C54</f>
        <v>0</v>
      </c>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row>
    <row r="55" ht="52.5" customHeight="1">
      <c r="A55" s="1"/>
      <c r="B55" s="90"/>
      <c r="C55" s="90"/>
      <c r="D55" s="91"/>
      <c r="E55" s="84" t="str">
        <f>IFERROR(VLOOKUP('05'!$D55,'DATA REAL'!B:F,2,FALSE),"")</f>
        <v/>
      </c>
      <c r="F55" s="92"/>
      <c r="G55" s="92">
        <f>IFERROR(VLOOKUP('05'!$D55,DATA!C:G,5,FALSE),"")*'05'!$C55</f>
        <v>0</v>
      </c>
      <c r="H55" s="93">
        <f>('05'!$E55*'05'!$C55)-'05'!$F55-'05'!$G55</f>
        <v>0</v>
      </c>
      <c r="I55" s="1"/>
      <c r="J55" s="81" t="str">
        <f>IFERROR(VLOOKUP('05'!$D55,DATA!C:D,2,FALSE),"")</f>
        <v/>
      </c>
      <c r="K55" s="81" t="str">
        <f>IFERROR(VLOOKUP('05'!$D55,DATA!C:F,4,FALSE),"")</f>
        <v/>
      </c>
      <c r="L55" s="1">
        <f t="shared" si="3"/>
        <v>0</v>
      </c>
      <c r="M55" s="1"/>
      <c r="N55" s="55">
        <f>'05'!$E55*'05'!$C55</f>
        <v>0</v>
      </c>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row>
    <row r="56" ht="54.0" customHeight="1">
      <c r="A56" s="1"/>
      <c r="B56" s="94"/>
      <c r="C56" s="94"/>
      <c r="D56" s="95"/>
      <c r="E56" s="96"/>
      <c r="F56" s="97"/>
      <c r="G56" s="98"/>
      <c r="H56" s="99"/>
      <c r="I56" s="1"/>
      <c r="J56" s="1"/>
      <c r="K56" s="1"/>
      <c r="L56" s="1"/>
      <c r="M56" s="1"/>
      <c r="N56" s="100"/>
      <c r="O56" s="10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row>
    <row r="57" ht="73.5" customHeight="1">
      <c r="A57" s="1"/>
      <c r="B57" s="102" t="s">
        <v>26</v>
      </c>
      <c r="E57" s="103"/>
      <c r="F57" s="104"/>
      <c r="G57" s="105" t="s">
        <v>27</v>
      </c>
      <c r="H57" s="106">
        <f t="array" ref="H57">SUM($E$16:$E$26*C16:C26)+SUM($E$28:$E$55*$C$28:$C$55)</f>
        <v>0</v>
      </c>
      <c r="I57" s="1"/>
      <c r="J57" s="1"/>
      <c r="K57" s="1"/>
      <c r="L57" s="1"/>
      <c r="M57" s="1"/>
      <c r="N57" s="107">
        <f>SUM(N16:N55)</f>
        <v>0</v>
      </c>
      <c r="O57" s="101" t="s">
        <v>28</v>
      </c>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row>
    <row r="58" ht="73.5" customHeight="1">
      <c r="A58" s="1"/>
      <c r="B58" s="108"/>
      <c r="E58" s="103"/>
      <c r="F58" s="104"/>
      <c r="G58" s="109" t="s">
        <v>18</v>
      </c>
      <c r="H58" s="110">
        <f>SUM($F$16:$F$55)</f>
        <v>0</v>
      </c>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row>
    <row r="59" ht="73.5" customHeight="1">
      <c r="A59" s="1"/>
      <c r="B59" s="108"/>
      <c r="E59" s="103"/>
      <c r="F59" s="104"/>
      <c r="G59" s="111" t="s">
        <v>29</v>
      </c>
      <c r="H59" s="112">
        <f>SUM($G$15:$G$55)</f>
        <v>0</v>
      </c>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row>
    <row r="60" ht="73.5" customHeight="1">
      <c r="A60" s="1"/>
      <c r="B60" s="108"/>
      <c r="E60" s="103"/>
      <c r="F60" s="104"/>
      <c r="G60" s="113" t="s">
        <v>30</v>
      </c>
      <c r="H60" s="114">
        <f>H57-H58-H59</f>
        <v>0</v>
      </c>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row>
    <row r="61" ht="70.5" customHeight="1">
      <c r="A61" s="1"/>
      <c r="B61" s="115"/>
      <c r="C61" s="116"/>
      <c r="D61" s="116"/>
      <c r="E61" s="117"/>
      <c r="F61" s="104"/>
      <c r="G61" s="118"/>
      <c r="H61" s="119" t="s">
        <v>31</v>
      </c>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row>
    <row r="62" ht="54.0" customHeight="1">
      <c r="A62" s="1"/>
      <c r="B62" s="120"/>
      <c r="C62" s="120"/>
      <c r="D62" s="120"/>
      <c r="E62" s="120"/>
      <c r="F62" s="104"/>
      <c r="G62" s="104"/>
      <c r="H62" s="12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row>
    <row r="63" ht="54.0" customHeight="1">
      <c r="A63" s="1"/>
      <c r="B63" s="44"/>
      <c r="C63" s="44"/>
      <c r="D63" s="122"/>
      <c r="E63" s="44"/>
      <c r="F63" s="44"/>
      <c r="G63" s="122"/>
      <c r="H63" s="122"/>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row>
    <row r="64" ht="54.0" customHeight="1">
      <c r="A64" s="1"/>
      <c r="B64" s="123"/>
      <c r="C64" s="123"/>
      <c r="D64" s="124" t="s">
        <v>32</v>
      </c>
      <c r="E64" s="125"/>
      <c r="F64" s="125"/>
      <c r="G64" s="123" t="s">
        <v>33</v>
      </c>
      <c r="H64" s="126"/>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row>
    <row r="65" ht="54.0"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row>
    <row r="66" ht="24.0"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row>
    <row r="67" ht="24.0"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row>
    <row r="68" ht="24.0"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row>
    <row r="69" ht="24.0"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row>
    <row r="70" ht="24.0"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row>
    <row r="71" ht="24.0"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row>
    <row r="72" ht="24.0"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row>
    <row r="73" ht="24.0"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row>
    <row r="74" ht="24.0"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row>
    <row r="75" ht="24.0"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row>
    <row r="76" ht="24.0"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row>
    <row r="77" ht="24.0"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row>
    <row r="78" ht="24.0"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row>
    <row r="79" ht="24.0"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row>
    <row r="80" ht="24.0"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row>
    <row r="81" ht="24.0"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row>
    <row r="82" ht="24.0"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row>
    <row r="83" ht="24.0"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row>
    <row r="84" ht="24.0"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row>
    <row r="85" ht="24.0"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row>
    <row r="86" ht="24.0"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row>
    <row r="87" ht="24.0"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row>
    <row r="88" ht="24.0"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row>
    <row r="89" ht="24.0"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row>
    <row r="90" ht="24.0"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row>
    <row r="91" ht="24.0"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row>
    <row r="92" ht="24.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row>
    <row r="93" ht="24.0"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row>
    <row r="94" ht="24.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row>
    <row r="95" ht="24.0"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row>
    <row r="96" ht="24.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row>
    <row r="97" ht="24.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row>
    <row r="98" ht="24.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row>
    <row r="99" ht="24.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row>
    <row r="100" ht="24.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row>
    <row r="101" ht="24.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row>
    <row r="102" ht="24.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row>
    <row r="103" ht="24.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row>
    <row r="104" ht="24.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row>
    <row r="105" ht="24.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row>
    <row r="106" ht="24.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row>
    <row r="107" ht="24.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row>
    <row r="108" ht="24.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row>
    <row r="109" ht="24.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row>
    <row r="110" ht="24.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row>
    <row r="111" ht="24.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row>
    <row r="112" ht="24.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row>
    <row r="113" ht="24.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row>
    <row r="114" ht="24.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row>
    <row r="115" ht="24.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row>
    <row r="116" ht="24.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row>
    <row r="117" ht="24.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row>
    <row r="118" ht="24.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row>
    <row r="119" ht="24.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row>
    <row r="120" ht="24.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row>
    <row r="121" ht="24.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row>
    <row r="122" ht="24.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row>
    <row r="123" ht="24.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row>
    <row r="124" ht="24.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row>
    <row r="125" ht="24.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row>
    <row r="126" ht="24.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row>
    <row r="127" ht="24.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row>
    <row r="128" ht="24.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row>
    <row r="129" ht="24.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row>
    <row r="130" ht="24.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row>
    <row r="131" ht="24.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row>
    <row r="132" ht="24.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row>
    <row r="133" ht="24.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row>
    <row r="134" ht="24.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row>
    <row r="135" ht="24.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row>
    <row r="136" ht="24.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row>
    <row r="137" ht="24.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row>
    <row r="138" ht="24.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row>
    <row r="139" ht="24.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row>
    <row r="140" ht="24.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row>
    <row r="141" ht="24.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row>
    <row r="142" ht="24.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row>
    <row r="143" ht="24.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row>
    <row r="144" ht="24.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row>
    <row r="145" ht="24.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row>
    <row r="146" ht="24.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row>
    <row r="147" ht="24.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row>
    <row r="148" ht="24.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row>
    <row r="149" ht="24.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row>
    <row r="150" ht="24.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row>
    <row r="151" ht="24.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row>
    <row r="152" ht="24.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row>
    <row r="153" ht="24.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row>
    <row r="154" ht="24.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row>
    <row r="155" ht="24.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row>
    <row r="156" ht="24.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row>
    <row r="157" ht="24.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row>
    <row r="158" ht="24.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row>
    <row r="159" ht="24.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row>
    <row r="160" ht="24.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row>
    <row r="161" ht="24.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row>
    <row r="162" ht="24.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row>
    <row r="163" ht="24.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row>
    <row r="164" ht="24.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row>
    <row r="165" ht="24.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row>
    <row r="166" ht="24.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row>
    <row r="167" ht="24.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row>
    <row r="168" ht="24.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row>
    <row r="169" ht="24.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row>
    <row r="170" ht="24.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row>
    <row r="171" ht="24.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row>
    <row r="172" ht="24.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row>
    <row r="173" ht="24.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row>
    <row r="174" ht="24.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row>
    <row r="175" ht="24.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row>
    <row r="176" ht="24.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row>
    <row r="177" ht="24.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row>
    <row r="178" ht="24.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row>
    <row r="179" ht="24.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row>
    <row r="180" ht="24.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row>
    <row r="181" ht="24.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row>
    <row r="182" ht="24.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row>
    <row r="183" ht="24.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row>
    <row r="184" ht="24.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row>
    <row r="185" ht="24.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row>
    <row r="186" ht="24.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row>
    <row r="187" ht="24.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row>
    <row r="188" ht="24.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row>
    <row r="189" ht="24.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row>
    <row r="190" ht="24.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row>
    <row r="191" ht="24.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row>
    <row r="192" ht="24.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row>
    <row r="193" ht="24.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row>
    <row r="194" ht="24.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row>
    <row r="195" ht="24.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row>
    <row r="196" ht="24.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row>
    <row r="197" ht="24.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row>
    <row r="198" ht="24.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row>
    <row r="199" ht="24.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row>
    <row r="200" ht="24.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row>
    <row r="201" ht="24.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row>
    <row r="202" ht="24.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row>
    <row r="203" ht="24.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row>
    <row r="204" ht="24.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row>
    <row r="205" ht="24.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row>
    <row r="206" ht="24.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row>
    <row r="207" ht="24.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row>
    <row r="208" ht="24.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row>
    <row r="209" ht="24.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row>
    <row r="210" ht="24.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row>
    <row r="211" ht="24.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row>
    <row r="212" ht="24.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row>
    <row r="213" ht="24.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row>
    <row r="214" ht="24.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row>
    <row r="215" ht="24.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row>
    <row r="216" ht="24.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row>
    <row r="217" ht="24.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row>
    <row r="218" ht="24.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row>
    <row r="219" ht="24.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row>
    <row r="220" ht="24.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row>
    <row r="221" ht="24.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row>
    <row r="222" ht="24.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row>
    <row r="223" ht="24.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row>
    <row r="224" ht="24.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row>
    <row r="225" ht="24.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row>
    <row r="226" ht="24.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row>
    <row r="227" ht="24.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row>
    <row r="228" ht="24.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row>
    <row r="229" ht="24.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row>
    <row r="230" ht="24.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row>
    <row r="231" ht="24.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row>
    <row r="232" ht="24.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row>
    <row r="233" ht="24.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row>
    <row r="234" ht="24.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row>
    <row r="235" ht="24.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row>
    <row r="236" ht="24.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row>
    <row r="237" ht="24.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row>
    <row r="238" ht="24.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row>
    <row r="239" ht="24.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row>
    <row r="240" ht="24.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row>
    <row r="241" ht="24.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row>
    <row r="242" ht="24.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row>
    <row r="243" ht="24.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row>
    <row r="244" ht="24.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row>
    <row r="245" ht="24.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row>
    <row r="246" ht="24.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row>
    <row r="247" ht="24.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row>
    <row r="248" ht="24.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row>
    <row r="249" ht="24.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row>
    <row r="250" ht="24.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row>
    <row r="251" ht="24.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row>
    <row r="252" ht="24.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row>
    <row r="253" ht="24.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row>
    <row r="254" ht="24.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row>
    <row r="255" ht="24.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row>
    <row r="256" ht="24.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row>
    <row r="257" ht="24.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row>
    <row r="258" ht="24.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row>
    <row r="259" ht="24.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row>
    <row r="260" ht="24.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row>
    <row r="261" ht="24.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row>
    <row r="262" ht="24.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row>
    <row r="263" ht="24.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row>
    <row r="264" ht="24.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row>
    <row r="265" ht="24.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row>
    <row r="266" ht="24.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row>
    <row r="267" ht="24.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row>
    <row r="268" ht="24.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row>
    <row r="269" ht="24.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row>
    <row r="270" ht="24.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row>
    <row r="271" ht="24.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row>
    <row r="272" ht="24.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row>
    <row r="273" ht="24.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row>
    <row r="274" ht="24.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row>
    <row r="275" ht="24.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row>
    <row r="276" ht="24.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row>
    <row r="277" ht="24.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row>
    <row r="278" ht="24.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row>
    <row r="279" ht="24.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row>
    <row r="280" ht="24.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row>
    <row r="281" ht="24.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row>
    <row r="282" ht="24.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row>
    <row r="283" ht="24.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row>
    <row r="284" ht="24.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row>
    <row r="285" ht="24.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row>
    <row r="286" ht="24.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row>
    <row r="287" ht="24.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row>
    <row r="288" ht="24.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row>
    <row r="289" ht="24.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row>
    <row r="290" ht="24.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row>
    <row r="291" ht="24.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row>
    <row r="292" ht="24.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row>
    <row r="293" ht="24.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row>
    <row r="294" ht="24.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row>
    <row r="295" ht="24.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row>
    <row r="296" ht="24.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row>
    <row r="297" ht="24.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row>
    <row r="298" ht="24.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row>
    <row r="299" ht="24.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row>
    <row r="300" ht="24.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row>
    <row r="301" ht="24.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row>
    <row r="302" ht="24.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row>
    <row r="303" ht="24.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row>
    <row r="304" ht="24.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row>
    <row r="305" ht="24.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row>
    <row r="306" ht="24.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row>
    <row r="307" ht="24.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row>
    <row r="308" ht="24.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row>
    <row r="309" ht="24.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row>
    <row r="310" ht="24.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row>
    <row r="311" ht="24.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row>
    <row r="312" ht="24.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row>
    <row r="313" ht="24.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row>
    <row r="314" ht="24.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row>
    <row r="315" ht="24.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row>
    <row r="316" ht="24.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row>
    <row r="317" ht="24.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row>
    <row r="318" ht="24.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row>
    <row r="319" ht="24.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row>
    <row r="320" ht="24.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row>
    <row r="321" ht="24.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row>
    <row r="322" ht="24.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row>
    <row r="323" ht="24.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row>
    <row r="324" ht="24.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row>
    <row r="325" ht="24.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row>
    <row r="326" ht="24.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row>
    <row r="327" ht="24.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row>
    <row r="328" ht="24.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row>
    <row r="329" ht="24.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row>
    <row r="330" ht="24.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row>
    <row r="331" ht="24.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row>
    <row r="332" ht="24.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row>
    <row r="333" ht="24.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row>
    <row r="334" ht="24.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row>
    <row r="335" ht="24.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row>
    <row r="336" ht="24.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row>
    <row r="337" ht="24.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row>
    <row r="338" ht="24.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row>
    <row r="339" ht="24.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row>
    <row r="340" ht="24.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row>
    <row r="341" ht="24.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row>
    <row r="342" ht="24.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row>
    <row r="343" ht="24.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row>
    <row r="344" ht="24.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row>
    <row r="345" ht="24.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row>
    <row r="346" ht="24.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row>
    <row r="347" ht="24.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row>
    <row r="348" ht="24.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row>
    <row r="349" ht="24.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row>
    <row r="350" ht="24.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row>
    <row r="351" ht="24.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row>
    <row r="352" ht="24.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row>
    <row r="353" ht="24.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row>
    <row r="354" ht="24.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row>
    <row r="355" ht="24.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row>
    <row r="356" ht="24.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row>
    <row r="357" ht="24.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row>
    <row r="358" ht="24.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row>
    <row r="359" ht="24.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row>
    <row r="360" ht="24.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row>
    <row r="361" ht="24.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row>
    <row r="362" ht="24.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row>
    <row r="363" ht="24.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row>
    <row r="364" ht="24.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row>
    <row r="365" ht="24.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row>
    <row r="366" ht="24.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row>
    <row r="367" ht="24.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row>
    <row r="368" ht="24.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row>
    <row r="369" ht="24.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row>
    <row r="370" ht="24.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row>
    <row r="371" ht="24.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row>
    <row r="372" ht="24.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row>
    <row r="373" ht="24.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row>
    <row r="374" ht="24.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row>
    <row r="375" ht="24.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row>
    <row r="376" ht="24.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row>
    <row r="377" ht="24.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row>
    <row r="378" ht="24.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row>
    <row r="379" ht="24.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row>
    <row r="380" ht="24.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row>
    <row r="381" ht="24.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row>
    <row r="382" ht="24.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row>
    <row r="383" ht="24.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row>
    <row r="384" ht="24.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row>
    <row r="385" ht="24.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row>
    <row r="386" ht="24.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row>
    <row r="387" ht="24.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row>
    <row r="388" ht="24.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row>
    <row r="389" ht="24.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row>
    <row r="390" ht="24.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row>
    <row r="391" ht="24.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row>
    <row r="392" ht="24.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row>
    <row r="393" ht="24.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row>
    <row r="394" ht="24.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row>
    <row r="395" ht="24.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row>
    <row r="396" ht="24.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row>
    <row r="397" ht="24.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row>
    <row r="398" ht="24.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row>
    <row r="399" ht="24.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row>
    <row r="400" ht="24.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row>
    <row r="401" ht="24.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row>
    <row r="402" ht="24.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row>
    <row r="403" ht="24.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row>
    <row r="404" ht="24.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row>
    <row r="405" ht="24.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row>
    <row r="406" ht="24.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row>
    <row r="407" ht="24.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row>
    <row r="408" ht="24.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row>
    <row r="409" ht="24.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row>
    <row r="410" ht="24.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row>
    <row r="411" ht="24.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row>
    <row r="412" ht="24.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row>
    <row r="413" ht="24.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row>
    <row r="414" ht="24.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row>
    <row r="415" ht="24.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row>
    <row r="416" ht="24.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row>
    <row r="417" ht="24.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row>
    <row r="418" ht="24.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row>
    <row r="419" ht="24.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row>
    <row r="420" ht="24.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row>
    <row r="421" ht="24.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row>
    <row r="422" ht="24.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row>
    <row r="423" ht="24.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row>
    <row r="424" ht="24.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row>
    <row r="425" ht="24.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row>
    <row r="426" ht="24.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row>
    <row r="427" ht="24.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row>
    <row r="428" ht="24.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row>
    <row r="429" ht="24.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row>
    <row r="430" ht="24.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row>
    <row r="431" ht="24.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row>
    <row r="432" ht="24.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row>
    <row r="433" ht="24.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row>
    <row r="434" ht="24.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row>
    <row r="435" ht="24.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row>
    <row r="436" ht="24.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row>
    <row r="437" ht="24.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row>
    <row r="438" ht="24.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row>
    <row r="439" ht="24.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row>
    <row r="440" ht="24.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row>
    <row r="441" ht="24.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row>
    <row r="442" ht="24.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row>
    <row r="443" ht="24.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row>
    <row r="444" ht="24.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row>
    <row r="445" ht="24.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row>
    <row r="446" ht="24.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row>
    <row r="447" ht="24.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row>
    <row r="448" ht="24.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row>
    <row r="449" ht="24.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row>
    <row r="450" ht="24.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row>
    <row r="451" ht="24.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row>
    <row r="452" ht="24.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row>
    <row r="453" ht="24.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row>
    <row r="454" ht="24.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row>
    <row r="455" ht="24.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row>
    <row r="456" ht="24.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row>
    <row r="457" ht="24.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row>
    <row r="458" ht="24.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row>
    <row r="459" ht="24.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row>
    <row r="460" ht="24.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row>
    <row r="461" ht="24.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row>
    <row r="462" ht="24.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row>
    <row r="463" ht="24.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row>
    <row r="464" ht="24.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row>
    <row r="465" ht="24.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row>
    <row r="466" ht="24.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row>
    <row r="467" ht="24.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row>
    <row r="468" ht="24.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row>
    <row r="469" ht="24.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row>
    <row r="470" ht="24.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row>
    <row r="471" ht="24.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row>
    <row r="472" ht="24.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row>
    <row r="473" ht="24.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row>
    <row r="474" ht="24.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row>
    <row r="475" ht="24.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row>
    <row r="476" ht="24.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row>
    <row r="477" ht="24.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row>
    <row r="478" ht="24.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row>
    <row r="479" ht="24.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row>
    <row r="480" ht="24.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row>
    <row r="481" ht="24.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row>
    <row r="482" ht="24.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row>
    <row r="483" ht="24.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row>
    <row r="484" ht="24.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row>
    <row r="485" ht="24.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row>
    <row r="486" ht="24.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row>
    <row r="487" ht="24.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row>
    <row r="488" ht="24.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row>
    <row r="489" ht="24.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row>
    <row r="490" ht="24.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row>
    <row r="491" ht="24.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row>
    <row r="492" ht="24.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row>
    <row r="493" ht="24.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row>
    <row r="494" ht="24.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row>
    <row r="495" ht="24.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row>
    <row r="496" ht="24.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row>
    <row r="497" ht="24.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row>
    <row r="498" ht="24.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row>
    <row r="499" ht="24.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row>
    <row r="500" ht="24.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row>
    <row r="501" ht="24.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row>
    <row r="502" ht="24.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row>
    <row r="503" ht="24.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row>
    <row r="504" ht="24.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row>
    <row r="505" ht="24.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row>
    <row r="506" ht="24.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row>
    <row r="507" ht="24.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row>
    <row r="508" ht="24.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row>
    <row r="509" ht="24.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row>
    <row r="510" ht="24.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row>
    <row r="511" ht="24.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row>
    <row r="512" ht="24.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row>
    <row r="513" ht="24.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row>
    <row r="514" ht="24.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row>
    <row r="515" ht="24.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row>
    <row r="516" ht="24.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row>
    <row r="517" ht="24.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row>
    <row r="518" ht="24.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row>
    <row r="519" ht="24.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row>
    <row r="520" ht="24.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row>
    <row r="521" ht="24.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row>
    <row r="522" ht="24.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row>
    <row r="523" ht="24.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row>
    <row r="524" ht="24.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row>
    <row r="525" ht="24.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row>
    <row r="526" ht="24.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row>
    <row r="527" ht="24.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row>
    <row r="528" ht="24.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row>
    <row r="529" ht="24.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row>
    <row r="530" ht="24.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row>
    <row r="531" ht="24.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row>
    <row r="532" ht="24.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row>
    <row r="533" ht="24.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row>
    <row r="534" ht="24.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row>
    <row r="535" ht="24.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row>
    <row r="536" ht="24.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row>
    <row r="537" ht="24.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row>
    <row r="538" ht="24.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row>
    <row r="539" ht="24.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row>
    <row r="540" ht="24.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row>
    <row r="541" ht="24.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row>
    <row r="542" ht="24.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row>
    <row r="543" ht="24.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row>
    <row r="544" ht="24.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row>
    <row r="545" ht="24.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row>
    <row r="546" ht="24.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row>
    <row r="547" ht="24.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row>
    <row r="548" ht="24.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row>
    <row r="549" ht="24.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row>
    <row r="550" ht="24.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row>
    <row r="551" ht="24.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row>
    <row r="552" ht="24.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row>
    <row r="553" ht="24.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row>
    <row r="554" ht="24.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row>
    <row r="555" ht="24.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row>
    <row r="556" ht="24.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row>
    <row r="557" ht="24.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row>
    <row r="558" ht="24.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row>
    <row r="559" ht="24.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row>
    <row r="560" ht="24.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row>
    <row r="561" ht="24.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row>
    <row r="562" ht="24.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row>
    <row r="563" ht="24.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row>
    <row r="564" ht="24.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row>
    <row r="565" ht="24.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row>
    <row r="566" ht="24.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row>
    <row r="567" ht="24.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row>
    <row r="568" ht="24.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row>
    <row r="569" ht="24.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row>
    <row r="570" ht="24.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row>
    <row r="571" ht="24.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row>
    <row r="572" ht="24.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row>
    <row r="573" ht="24.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row>
    <row r="574" ht="24.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row>
    <row r="575" ht="24.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row>
    <row r="576" ht="24.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row>
    <row r="577" ht="24.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row>
    <row r="578" ht="24.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row>
    <row r="579" ht="24.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row>
    <row r="580" ht="24.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row>
    <row r="581" ht="24.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row>
    <row r="582" ht="24.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row>
    <row r="583" ht="24.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row>
    <row r="584" ht="24.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row>
    <row r="585" ht="24.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row>
    <row r="586" ht="24.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row>
    <row r="587" ht="24.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row>
    <row r="588" ht="24.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row>
    <row r="589" ht="24.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row>
    <row r="590" ht="24.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row>
    <row r="591" ht="24.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row>
    <row r="592" ht="24.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row>
    <row r="593" ht="24.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row>
    <row r="594" ht="24.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row>
    <row r="595" ht="24.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row>
    <row r="596" ht="24.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row>
    <row r="597" ht="24.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row>
    <row r="598" ht="24.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row>
    <row r="599" ht="24.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row>
    <row r="600" ht="24.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row>
    <row r="601" ht="24.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row>
    <row r="602" ht="24.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row>
    <row r="603" ht="24.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row>
    <row r="604" ht="24.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row>
    <row r="605" ht="24.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row>
    <row r="606" ht="24.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row>
    <row r="607" ht="24.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row>
    <row r="608" ht="24.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row>
    <row r="609" ht="24.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row>
    <row r="610" ht="24.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row>
    <row r="611" ht="24.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row>
    <row r="612" ht="24.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row>
    <row r="613" ht="24.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row>
    <row r="614" ht="24.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row>
    <row r="615" ht="24.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row>
    <row r="616" ht="24.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row>
    <row r="617" ht="24.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row>
    <row r="618" ht="24.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row>
    <row r="619" ht="24.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row>
    <row r="620" ht="24.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row>
    <row r="621" ht="24.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row>
    <row r="622" ht="24.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row>
    <row r="623" ht="24.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row>
    <row r="624" ht="24.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row>
    <row r="625" ht="24.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row>
    <row r="626" ht="24.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row>
    <row r="627" ht="24.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row>
    <row r="628" ht="24.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row>
    <row r="629" ht="24.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row>
    <row r="630" ht="24.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row>
    <row r="631" ht="24.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row>
    <row r="632" ht="24.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row>
    <row r="633" ht="24.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row>
    <row r="634" ht="24.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row>
    <row r="635" ht="24.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row>
    <row r="636" ht="24.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row>
    <row r="637" ht="24.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row>
    <row r="638" ht="24.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row>
    <row r="639" ht="24.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row>
    <row r="640" ht="24.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row>
    <row r="641" ht="24.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row>
    <row r="642" ht="24.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row>
    <row r="643" ht="24.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row>
    <row r="644" ht="24.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row>
    <row r="645" ht="24.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row>
    <row r="646" ht="24.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row>
    <row r="647" ht="24.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row>
    <row r="648" ht="24.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row>
    <row r="649" ht="24.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row>
    <row r="650" ht="24.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row>
    <row r="651" ht="24.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row>
    <row r="652" ht="24.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row>
    <row r="653" ht="24.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row>
    <row r="654" ht="24.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row>
    <row r="655" ht="24.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row>
    <row r="656" ht="24.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row>
    <row r="657" ht="24.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row>
    <row r="658" ht="24.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row>
    <row r="659" ht="24.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row>
    <row r="660" ht="24.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row>
    <row r="661" ht="24.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row>
    <row r="662" ht="24.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row>
    <row r="663" ht="24.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row>
    <row r="664" ht="24.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row>
    <row r="665" ht="24.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row>
    <row r="666" ht="24.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row>
    <row r="667" ht="24.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row>
    <row r="668" ht="24.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row>
    <row r="669" ht="24.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row>
    <row r="670" ht="24.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row>
    <row r="671" ht="24.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row>
    <row r="672" ht="24.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row>
    <row r="673" ht="24.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row>
    <row r="674" ht="24.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row>
    <row r="675" ht="24.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row>
    <row r="676" ht="24.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row>
    <row r="677" ht="24.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row>
    <row r="678" ht="24.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row>
    <row r="679" ht="24.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row>
    <row r="680" ht="24.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row>
    <row r="681" ht="24.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row>
    <row r="682" ht="24.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row>
    <row r="683" ht="24.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row>
    <row r="684" ht="24.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row>
    <row r="685" ht="24.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row>
    <row r="686" ht="24.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row>
    <row r="687" ht="24.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row>
    <row r="688" ht="24.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row>
    <row r="689" ht="24.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row>
    <row r="690" ht="24.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row>
    <row r="691" ht="24.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row>
    <row r="692" ht="24.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row>
    <row r="693" ht="24.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row>
    <row r="694" ht="24.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row>
    <row r="695" ht="24.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row>
    <row r="696" ht="24.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row>
    <row r="697" ht="24.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row>
    <row r="698" ht="24.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row>
    <row r="699" ht="24.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row>
    <row r="700" ht="24.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row>
    <row r="701" ht="24.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row>
    <row r="702" ht="24.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row>
    <row r="703" ht="24.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row>
    <row r="704" ht="24.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row>
    <row r="705" ht="24.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row>
    <row r="706" ht="24.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row>
    <row r="707" ht="24.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row>
    <row r="708" ht="24.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row>
    <row r="709" ht="24.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row>
    <row r="710" ht="24.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row>
    <row r="711" ht="24.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row>
    <row r="712" ht="24.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row>
    <row r="713" ht="24.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row>
    <row r="714" ht="24.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row>
    <row r="715" ht="24.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row>
    <row r="716" ht="24.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row>
    <row r="717" ht="24.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row>
    <row r="718" ht="24.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row>
    <row r="719" ht="24.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row>
    <row r="720" ht="24.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row>
    <row r="721" ht="24.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row>
    <row r="722" ht="24.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row>
    <row r="723" ht="24.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row>
    <row r="724" ht="24.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row>
    <row r="725" ht="24.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row>
    <row r="726" ht="24.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row>
    <row r="727" ht="24.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row>
    <row r="728" ht="24.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row>
    <row r="729" ht="24.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row>
    <row r="730" ht="24.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row>
    <row r="731" ht="24.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row>
    <row r="732" ht="24.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row>
    <row r="733" ht="24.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row>
    <row r="734" ht="24.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row>
    <row r="735" ht="24.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row>
    <row r="736" ht="24.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row>
    <row r="737" ht="24.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row>
    <row r="738" ht="24.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row>
    <row r="739" ht="24.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row>
    <row r="740" ht="24.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row>
    <row r="741" ht="24.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row>
    <row r="742" ht="24.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row>
    <row r="743" ht="24.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row>
    <row r="744" ht="24.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row>
    <row r="745" ht="24.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row>
    <row r="746" ht="24.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row>
    <row r="747" ht="24.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row>
    <row r="748" ht="24.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row>
    <row r="749" ht="24.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row>
    <row r="750" ht="24.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row>
    <row r="751" ht="24.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row>
    <row r="752" ht="24.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row>
    <row r="753" ht="24.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row>
    <row r="754" ht="24.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row>
    <row r="755" ht="24.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row>
    <row r="756" ht="24.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row>
    <row r="757" ht="24.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row>
    <row r="758" ht="24.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row>
    <row r="759" ht="24.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row>
    <row r="760" ht="24.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row>
    <row r="761" ht="24.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row>
    <row r="762" ht="24.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row>
    <row r="763" ht="24.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row>
    <row r="764" ht="24.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row>
    <row r="765" ht="24.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row>
    <row r="766" ht="24.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row>
    <row r="767" ht="24.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row>
    <row r="768" ht="24.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row>
    <row r="769" ht="24.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row>
    <row r="770" ht="24.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row>
    <row r="771" ht="24.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row>
    <row r="772" ht="24.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row>
    <row r="773" ht="24.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row>
    <row r="774" ht="24.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row>
    <row r="775" ht="24.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row>
    <row r="776" ht="24.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row>
    <row r="777" ht="24.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row>
    <row r="778" ht="24.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row>
    <row r="779" ht="24.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row>
    <row r="780" ht="24.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row>
    <row r="781" ht="24.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row>
    <row r="782" ht="24.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row>
    <row r="783" ht="24.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row>
    <row r="784" ht="24.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row>
    <row r="785" ht="24.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row>
    <row r="786" ht="24.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row>
    <row r="787" ht="24.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row>
    <row r="788" ht="24.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row>
    <row r="789" ht="24.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row>
    <row r="790" ht="24.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row>
    <row r="791" ht="24.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row>
    <row r="792" ht="24.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row>
    <row r="793" ht="24.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row>
    <row r="794" ht="24.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row>
    <row r="795" ht="24.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row>
    <row r="796" ht="24.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row>
    <row r="797" ht="24.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row>
    <row r="798" ht="24.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row>
    <row r="799" ht="24.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row>
    <row r="800" ht="24.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row>
    <row r="801" ht="24.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row>
    <row r="802" ht="24.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row>
    <row r="803" ht="24.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row>
    <row r="804" ht="24.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row>
    <row r="805" ht="24.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row>
    <row r="806" ht="24.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row>
    <row r="807" ht="24.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row>
    <row r="808" ht="24.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row>
    <row r="809" ht="24.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row>
    <row r="810" ht="24.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row>
    <row r="811" ht="24.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row>
    <row r="812" ht="24.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row>
    <row r="813" ht="24.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row>
    <row r="814" ht="24.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row>
    <row r="815" ht="24.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row>
    <row r="816" ht="24.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row>
    <row r="817" ht="24.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row>
    <row r="818" ht="24.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row>
    <row r="819" ht="24.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row>
    <row r="820" ht="24.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row>
    <row r="821" ht="24.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row>
    <row r="822" ht="24.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row>
    <row r="823" ht="24.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row>
    <row r="824" ht="24.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row>
    <row r="825" ht="24.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row>
    <row r="826" ht="24.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row>
    <row r="827" ht="24.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row>
    <row r="828" ht="24.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row>
    <row r="829" ht="24.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row>
    <row r="830" ht="24.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row>
    <row r="831" ht="24.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row>
    <row r="832" ht="24.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row>
    <row r="833" ht="24.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row>
    <row r="834" ht="24.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row>
    <row r="835" ht="24.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row>
    <row r="836" ht="24.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row>
    <row r="837" ht="24.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row>
    <row r="838" ht="24.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row>
    <row r="839" ht="24.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row>
    <row r="840" ht="24.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row>
    <row r="841" ht="24.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row>
    <row r="842" ht="24.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row>
    <row r="843" ht="24.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row>
    <row r="844" ht="24.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row>
    <row r="845" ht="24.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row>
    <row r="846" ht="24.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row>
    <row r="847" ht="24.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row>
    <row r="848" ht="24.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row>
    <row r="849" ht="24.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row>
    <row r="850" ht="24.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row>
    <row r="851" ht="24.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row>
    <row r="852" ht="24.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row>
    <row r="853" ht="24.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row>
    <row r="854" ht="24.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row>
    <row r="855" ht="24.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row>
    <row r="856" ht="24.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row>
    <row r="857" ht="24.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row>
    <row r="858" ht="24.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row>
    <row r="859" ht="24.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row>
    <row r="860" ht="24.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row>
    <row r="861" ht="24.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row>
    <row r="862" ht="24.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row>
    <row r="863" ht="24.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row>
    <row r="864" ht="24.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row>
    <row r="865" ht="24.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row>
    <row r="866" ht="24.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row>
    <row r="867" ht="24.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row>
    <row r="868" ht="24.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row>
    <row r="869" ht="24.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row>
    <row r="870" ht="24.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row>
    <row r="871" ht="24.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row>
    <row r="872" ht="24.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row>
    <row r="873" ht="24.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row>
    <row r="874" ht="24.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row>
    <row r="875" ht="24.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row>
    <row r="876" ht="24.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row>
    <row r="877" ht="24.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row>
    <row r="878" ht="24.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row>
    <row r="879" ht="24.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row>
    <row r="880" ht="24.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row>
    <row r="881" ht="24.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row>
    <row r="882" ht="24.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row>
    <row r="883" ht="24.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row>
    <row r="884" ht="24.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row>
    <row r="885" ht="24.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row>
    <row r="886" ht="24.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row>
    <row r="887" ht="24.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row>
    <row r="888" ht="24.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row>
    <row r="889" ht="24.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row>
    <row r="890" ht="24.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row>
    <row r="891" ht="24.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row>
    <row r="892" ht="24.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row>
    <row r="893" ht="24.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row>
    <row r="894" ht="24.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row>
    <row r="895" ht="24.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row>
    <row r="896" ht="24.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row>
    <row r="897" ht="24.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row>
    <row r="898" ht="24.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row>
    <row r="899" ht="24.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row>
    <row r="900" ht="24.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row>
    <row r="901" ht="24.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row>
    <row r="902" ht="24.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row>
    <row r="903" ht="24.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row>
    <row r="904" ht="24.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row>
    <row r="905" ht="24.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row>
    <row r="906" ht="24.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row>
    <row r="907" ht="24.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row>
    <row r="908" ht="24.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row>
    <row r="909" ht="24.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row>
    <row r="910" ht="24.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row>
    <row r="911" ht="24.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row>
    <row r="912" ht="24.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row>
    <row r="913" ht="24.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row>
    <row r="914" ht="24.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row>
    <row r="915" ht="24.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row>
    <row r="916" ht="24.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row>
    <row r="917" ht="24.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row>
    <row r="918" ht="24.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row>
    <row r="919" ht="24.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row>
    <row r="920" ht="24.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row>
    <row r="921" ht="24.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row>
    <row r="922" ht="24.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row>
    <row r="923" ht="24.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row>
    <row r="924" ht="24.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row>
    <row r="925" ht="24.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row>
    <row r="926" ht="24.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row>
    <row r="927" ht="24.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row>
    <row r="928" ht="24.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row>
    <row r="929" ht="24.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row>
    <row r="930" ht="24.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row>
    <row r="931" ht="24.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row>
    <row r="932" ht="24.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row>
    <row r="933" ht="24.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row>
    <row r="934" ht="24.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row>
    <row r="935" ht="24.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row>
    <row r="936" ht="24.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row>
    <row r="937" ht="24.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row>
    <row r="938" ht="24.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row>
    <row r="939" ht="24.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row>
    <row r="940" ht="24.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row>
    <row r="941" ht="24.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row>
    <row r="942" ht="24.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row>
    <row r="943" ht="24.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row>
    <row r="944" ht="24.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row>
    <row r="945" ht="24.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row>
    <row r="946" ht="24.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row>
    <row r="947" ht="24.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row>
    <row r="948" ht="24.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row>
    <row r="949" ht="24.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row>
    <row r="950" ht="24.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row>
    <row r="951" ht="24.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row>
    <row r="952" ht="24.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row>
    <row r="953" ht="24.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row>
    <row r="954" ht="24.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row>
    <row r="955" ht="24.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row>
    <row r="956" ht="24.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row>
    <row r="957" ht="24.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row>
    <row r="958" ht="24.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row>
    <row r="959" ht="24.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row>
    <row r="960" ht="24.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row>
    <row r="961" ht="24.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row>
    <row r="962" ht="24.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row>
    <row r="963" ht="24.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row>
    <row r="964" ht="24.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row>
    <row r="965" ht="24.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row>
    <row r="966" ht="24.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row>
    <row r="967" ht="24.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row>
    <row r="968" ht="24.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row>
    <row r="969" ht="24.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row>
    <row r="970" ht="24.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row>
    <row r="971" ht="24.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row>
    <row r="972" ht="24.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row>
    <row r="973" ht="24.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row>
    <row r="974" ht="24.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row>
    <row r="975" ht="24.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row>
    <row r="976" ht="24.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row>
    <row r="977" ht="24.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row>
    <row r="978" ht="24.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row>
    <row r="979" ht="24.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row>
    <row r="980" ht="24.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row>
    <row r="981" ht="24.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row>
    <row r="982" ht="24.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row>
    <row r="983" ht="24.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row>
    <row r="984" ht="24.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row>
    <row r="985" ht="24.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row>
    <row r="986" ht="24.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row>
    <row r="987" ht="24.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row>
    <row r="988" ht="24.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row>
    <row r="989" ht="24.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row>
    <row r="990" ht="24.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row>
    <row r="991" ht="24.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row>
    <row r="992" ht="24.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row>
    <row r="993" ht="24.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row>
    <row r="994" ht="24.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row>
    <row r="995" ht="24.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row>
    <row r="996" ht="24.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row>
    <row r="997" ht="24.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row>
    <row r="998" ht="24.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row>
    <row r="999" ht="24.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row>
    <row r="1000" ht="24.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row>
  </sheetData>
  <mergeCells count="15">
    <mergeCell ref="B11:C11"/>
    <mergeCell ref="B12:C12"/>
    <mergeCell ref="D12:E12"/>
    <mergeCell ref="J26:J27"/>
    <mergeCell ref="K26:K27"/>
    <mergeCell ref="L26:L27"/>
    <mergeCell ref="B27:H27"/>
    <mergeCell ref="B9:E9"/>
    <mergeCell ref="F9:H9"/>
    <mergeCell ref="B10:C10"/>
    <mergeCell ref="D10:E10"/>
    <mergeCell ref="F10:H10"/>
    <mergeCell ref="D11:E11"/>
    <mergeCell ref="G11:H11"/>
    <mergeCell ref="B57:E61"/>
  </mergeCells>
  <conditionalFormatting sqref="E15:H26 F28:F55 H28:H55">
    <cfRule type="expression" dxfId="1" priority="1">
      <formula>ISERROR(E15)</formula>
    </cfRule>
  </conditionalFormatting>
  <dataValidations>
    <dataValidation type="list" allowBlank="1" showErrorMessage="1" sqref="D54">
      <formula1>'05'!$BD$2:$BD1000</formula1>
    </dataValidation>
    <dataValidation type="list" allowBlank="1" showErrorMessage="1" sqref="D16">
      <formula1>'05'!$R$2:$R1000</formula1>
    </dataValidation>
    <dataValidation type="list" allowBlank="1" showErrorMessage="1" sqref="D39">
      <formula1>'05'!$AO$2:$AO1000</formula1>
    </dataValidation>
    <dataValidation type="list" allowBlank="1" showErrorMessage="1" sqref="D24">
      <formula1>'05'!$Z$2:$Z1000</formula1>
    </dataValidation>
    <dataValidation type="list" allowBlank="1" showErrorMessage="1" sqref="D32">
      <formula1>'05'!$AH$2:$AH1000</formula1>
    </dataValidation>
    <dataValidation type="list" allowBlank="1" showErrorMessage="1" sqref="D23">
      <formula1>'05'!$Y$2:$Y1000</formula1>
    </dataValidation>
    <dataValidation type="list" allowBlank="1" showErrorMessage="1" sqref="D40">
      <formula1>'05'!$AP$2:$AP1000</formula1>
    </dataValidation>
    <dataValidation type="list" allowBlank="1" showErrorMessage="1" sqref="D47">
      <formula1>'05'!$AW$2:$AW1000</formula1>
    </dataValidation>
    <dataValidation type="list" allowBlank="1" showErrorMessage="1" sqref="D31">
      <formula1>'05'!$AG$2:$AG1000</formula1>
    </dataValidation>
    <dataValidation type="list" allowBlank="1" showErrorMessage="1" sqref="D45">
      <formula1>'05'!$AU$2:$AU1000</formula1>
    </dataValidation>
    <dataValidation type="list" allowBlank="1" showErrorMessage="1" sqref="D25">
      <formula1>'05'!$AA$2:$AA1000</formula1>
    </dataValidation>
    <dataValidation type="list" allowBlank="1" showErrorMessage="1" sqref="D22">
      <formula1>'05'!$X$2:$X1000</formula1>
    </dataValidation>
    <dataValidation type="list" allowBlank="1" showErrorMessage="1" sqref="D52">
      <formula1>'05'!$BB$2:$BB1000</formula1>
    </dataValidation>
    <dataValidation type="list" allowBlank="1" showErrorMessage="1" sqref="D48">
      <formula1>'05'!$AX$2:$AX1000</formula1>
    </dataValidation>
    <dataValidation type="list" allowBlank="1" showErrorMessage="1" sqref="D53">
      <formula1>'05'!$BC$2:$BC1000</formula1>
    </dataValidation>
    <dataValidation type="list" allowBlank="1" showErrorMessage="1" sqref="D38">
      <formula1>'05'!$AN$2:$AN1000</formula1>
    </dataValidation>
    <dataValidation type="list" allowBlank="1" showErrorMessage="1" sqref="D17">
      <formula1>'05'!$S$2:$S1000</formula1>
    </dataValidation>
    <dataValidation type="list" allowBlank="1" showErrorMessage="1" sqref="D21">
      <formula1>'05'!$W$2:$W1000</formula1>
    </dataValidation>
    <dataValidation type="list" allowBlank="1" showErrorMessage="1" sqref="D44">
      <formula1>'05'!$AT$2:$AT1000</formula1>
    </dataValidation>
    <dataValidation type="list" allowBlank="1" showErrorMessage="1" sqref="D26">
      <formula1>'05'!$AB$2:$AB1000</formula1>
    </dataValidation>
    <dataValidation type="list" allowBlank="1" showErrorMessage="1" sqref="D30">
      <formula1>'05'!$AF$2:$AF1000</formula1>
    </dataValidation>
    <dataValidation type="list" allowBlank="1" showErrorMessage="1" sqref="D28">
      <formula1>'05'!$AD$2:$AD1000</formula1>
    </dataValidation>
    <dataValidation type="list" allowBlank="1" showErrorMessage="1" sqref="D35">
      <formula1>'05'!$AK$2:$AK1000</formula1>
    </dataValidation>
    <dataValidation type="list" allowBlank="1" showErrorMessage="1" sqref="D43">
      <formula1>'05'!$AS$2:$AS1000</formula1>
    </dataValidation>
    <dataValidation type="list" allowBlank="1" showErrorMessage="1" sqref="D36">
      <formula1>'05'!$AL$2:$AL1000</formula1>
    </dataValidation>
    <dataValidation type="list" allowBlank="1" showErrorMessage="1" sqref="D34">
      <formula1>'05'!$AJ$2:$AJ1000</formula1>
    </dataValidation>
    <dataValidation type="list" allowBlank="1" showErrorMessage="1" sqref="D29">
      <formula1>'05'!$AE$2:$AE1000</formula1>
    </dataValidation>
    <dataValidation type="list" allowBlank="1" showErrorMessage="1" sqref="D42">
      <formula1>'05'!$AR$2:$AR1000</formula1>
    </dataValidation>
    <dataValidation type="list" allowBlank="1" showErrorMessage="1" sqref="D51">
      <formula1>'05'!$BA$2:$BA1000</formula1>
    </dataValidation>
    <dataValidation type="list" allowBlank="1" showErrorMessage="1" sqref="D20">
      <formula1>'05'!$V$2:$V1000</formula1>
    </dataValidation>
    <dataValidation type="list" allowBlank="1" showErrorMessage="1" sqref="D37">
      <formula1>'05'!$AM$2:$AM1000</formula1>
    </dataValidation>
    <dataValidation type="list" allowBlank="1" showErrorMessage="1" sqref="D41">
      <formula1>'05'!$AQ$2:$AQ1000</formula1>
    </dataValidation>
    <dataValidation type="list" allowBlank="1" showErrorMessage="1" sqref="D18">
      <formula1>'05'!$T$2:$T1000</formula1>
    </dataValidation>
    <dataValidation type="list" allowBlank="1" showErrorMessage="1" sqref="D49">
      <formula1>'05'!$AY$2:$AY1000</formula1>
    </dataValidation>
    <dataValidation type="list" allowBlank="1" showErrorMessage="1" sqref="D33">
      <formula1>'05'!$AI$2:$AI1000</formula1>
    </dataValidation>
    <dataValidation type="list" allowBlank="1" showErrorMessage="1" sqref="D55">
      <formula1>'05'!$BE$2:$BE1000</formula1>
    </dataValidation>
    <dataValidation type="list" allowBlank="1" showInputMessage="1" showErrorMessage="1" prompt="Enter Payment Method in this cell" sqref="B10">
      <formula1>#REF!</formula1>
    </dataValidation>
    <dataValidation type="list" allowBlank="1" showErrorMessage="1" sqref="H64">
      <formula1>DATA!$N$2:$N$10</formula1>
    </dataValidation>
    <dataValidation type="list" allowBlank="1" showErrorMessage="1" sqref="D19">
      <formula1>'05'!$U$2:$U1000</formula1>
    </dataValidation>
    <dataValidation type="list" allowBlank="1" showErrorMessage="1" sqref="D46">
      <formula1>'05'!$AV$2:$AV1000</formula1>
    </dataValidation>
    <dataValidation type="list" allowBlank="1" showErrorMessage="1" sqref="D50">
      <formula1>'05'!$AZ$2:$AZ1000</formula1>
    </dataValidation>
    <dataValidation type="list" allowBlank="1" showErrorMessage="1" sqref="B28:B55">
      <formula1>#REF!</formula1>
    </dataValidation>
    <dataValidation type="list" allowBlank="1" showErrorMessage="1" sqref="B16:B26">
      <formula1>#REF!</formula1>
    </dataValidation>
  </dataValidations>
  <printOptions horizontalCentered="1" verticalCentered="1"/>
  <pageMargins bottom="0.35433070866141736" footer="0.0" header="0.0" left="0.2362204724409449" right="0.2362204724409449" top="0.35433070866141736"/>
  <pageSetup paperSize="9" orientation="portrait"/>
  <drawing r:id="rId1"/>
</worksheet>
</file>